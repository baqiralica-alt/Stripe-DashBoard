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cutive_Summary" sheetId="2" state="visible" r:id="rId4"/>
    <sheet name="Revenue_Dashboard" sheetId="3" state="visible" r:id="rId5"/>
    <sheet name="Receivables_Aging" sheetId="4" state="visible" r:id="rId6"/>
    <sheet name="Customer_Receivables" sheetId="5" state="visible" r:id="rId7"/>
    <sheet name="Meta_Expenses" sheetId="6" state="visible" r:id="rId8"/>
    <sheet name="PnL_Statement" sheetId="7" state="visible" r:id="rId9"/>
    <sheet name="Formula_Audit" sheetId="8" state="visible" r:id="rId10"/>
    <sheet name="Raw_Stripe" sheetId="9" state="visible" r:id="rId11"/>
    <sheet name="Raw_Xero" sheetId="10" state="visible" r:id="rId12"/>
    <sheet name="Raw_Xero_Invoices" sheetId="11" state="visible" r:id="rId13"/>
    <sheet name="Raw_Bank" sheetId="12" state="visible" r:id="rId14"/>
    <sheet name="Raw_Meta" sheetId="13" state="visible" r:id="rId15"/>
    <sheet name="Settings_FX" sheetId="14" state="visible" r:id="rId16"/>
  </sheets>
  <definedNames>
    <definedName function="false" hidden="false" name="CUSTOMERS" vbProcedure="false">Settings_FX!$B$32:$H$46</definedName>
    <definedName function="false" hidden="false" name="FX_RATES" vbProcedure="false">Settings_FX!$B$16:$I$27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<sst xmlns="http://schemas.openxmlformats.org/spreadsheetml/2006/main" count="1578" uniqueCount="657">
  <si>
    <t xml:space="preserve">Stripe × Xero Financial Dashboard</t>
  </si>
  <si>
    <t xml:space="preserve">FY2025 · Multi-currency · Live formulas · Meta discount add-back</t>
  </si>
  <si>
    <t xml:space="preserve">  PURPOSE</t>
  </si>
  <si>
    <t xml:space="preserve">This workbook consolidates financial data from Stripe, Xero, Bank statements, and Meta (Facebook/WhatsApp) invoices into a single live-formula dashboard. It tracks revenue across WhatsApp, Subscription, and Development streams; monitors receivables for UAE and Singapore entities; and applies a special Meta discount add-back logic so each customer shows a single net Meta cost.
Every derived number is a live Excel formula — paste raw rows into the input sheets and every dashboard, KPI, and chart updates automatically.</t>
  </si>
  <si>
    <t xml:space="preserve">  DATA FLOW</t>
  </si>
  <si>
    <t xml:space="preserve">①  PASTE</t>
  </si>
  <si>
    <t xml:space="preserve">Raw_Stripe, Raw_Xero, Raw_Bank, Raw_Meta</t>
  </si>
  <si>
    <t xml:space="preserve">Drop your exports / CSV rows into these four input sheets.</t>
  </si>
  <si>
    <t xml:space="preserve">②  CONFIG</t>
  </si>
  <si>
    <t xml:space="preserve">Settings_FX</t>
  </si>
  <si>
    <t xml:space="preserve">Edit FX rates monthly, maintain customer master, set company names.</t>
  </si>
  <si>
    <t xml:space="preserve">③  CALCULATE</t>
  </si>
  <si>
    <t xml:space="preserve">Revenue_Dashboard, Meta_Expenses, PnL_Statement</t>
  </si>
  <si>
    <t xml:space="preserve">Live SUMIFS formulas aggregate raw rows by month, category, customer.</t>
  </si>
  <si>
    <t xml:space="preserve">④  MONITOR</t>
  </si>
  <si>
    <t xml:space="preserve">Receivables_Aging</t>
  </si>
  <si>
    <t xml:space="preserve">A/R aging by customer across UAE &amp; Singapore entities.</t>
  </si>
  <si>
    <t xml:space="preserve">⑤  REVIEW</t>
  </si>
  <si>
    <t xml:space="preserve">Executive_Summary</t>
  </si>
  <si>
    <t xml:space="preserve">KPI cards + trend charts for the leadership view.</t>
  </si>
  <si>
    <t xml:space="preserve">⑥  AUDIT</t>
  </si>
  <si>
    <t xml:space="preserve">Formula_Audit</t>
  </si>
  <si>
    <t xml:space="preserve">Every key formula listed with its description for transparency.</t>
  </si>
  <si>
    <t xml:space="preserve">  META DISCOUNT ADD-BACK LOGIC</t>
  </si>
  <si>
    <t xml:space="preserve">Meta invoices typically show:
   • Gross Billed (list price)
   • Discount Given (credit applied by Meta)
   • Net Paid (amount actually charged to your card = Gross − Discount)
Add-Back Formula:  Amount_With_AddBack = Net_Paid + Discount_Given
This reverses the discount so the dashboard shows the full gross charge per customer — useful for cost-pass-through billing and customer profitability analysis where the discount is yours, not your customer's.</t>
  </si>
  <si>
    <t xml:space="preserve">  MULTI-CURRENCY HANDLING</t>
  </si>
  <si>
    <t xml:space="preserve">Each raw transaction keeps its NATIVE currency (USD, AED, SGD, EUR).
A USD-equivalent column on every raw sheet converts via the monthly FX rate table in Settings_FX using:  Amount_USD = Amount × FX_Rate(month, currency).
Update the FX rate table once per month — every downstream USD total refreshes automatically. Native-currency subtotals are preserved on each dashboard for entity-level reporting (UAE books in AED, Singapore books in SGD).</t>
  </si>
  <si>
    <t xml:space="preserve">  SHEET DIRECTORY</t>
  </si>
  <si>
    <t xml:space="preserve">FX rates, customer master, company config, category map</t>
  </si>
  <si>
    <t xml:space="preserve">Raw_Stripe</t>
  </si>
  <si>
    <t xml:space="preserve">Stripe transaction paste-zone (with Void/Draft/Unsent statuses)</t>
  </si>
  <si>
    <t xml:space="preserve">Raw_Xero</t>
  </si>
  <si>
    <t xml:space="preserve">Xero journal paste-zone (P&amp;L opex)</t>
  </si>
  <si>
    <t xml:space="preserve">Raw_Xero_Invoices</t>
  </si>
  <si>
    <t xml:space="preserve">Xero customer invoice paste-zone (with Void/Draft/Unsent/AwaitPay)</t>
  </si>
  <si>
    <t xml:space="preserve">Raw_Bank</t>
  </si>
  <si>
    <t xml:space="preserve">Bank statement paste-zone</t>
  </si>
  <si>
    <t xml:space="preserve">Raw_Meta</t>
  </si>
  <si>
    <t xml:space="preserve">Meta invoice paste-zone (with discount add-back)</t>
  </si>
  <si>
    <t xml:space="preserve">Revenue_Dashboard</t>
  </si>
  <si>
    <t xml:space="preserve">Revenue by 4 categories × month + bar + pie charts</t>
  </si>
  <si>
    <t xml:space="preserve">A/R aging by customer (UAE &amp; SG) — 0-30/31-60/60+ buckets</t>
  </si>
  <si>
    <t xml:space="preserve">Customer_Receivables</t>
  </si>
  <si>
    <t xml:space="preserve">★ Per-customer invoice status breakdown — Xero + Stripe</t>
  </si>
  <si>
    <t xml:space="preserve">Meta_Expenses</t>
  </si>
  <si>
    <t xml:space="preserve">Meta cost per customer with add-back</t>
  </si>
  <si>
    <t xml:space="preserve">PnL_Statement</t>
  </si>
  <si>
    <t xml:space="preserve">Monthly P&amp;L — 4 revenue categories − Meta − OpEx</t>
  </si>
  <si>
    <t xml:space="preserve">KPI cards + trend charts</t>
  </si>
  <si>
    <t xml:space="preserve">Every key formula documented</t>
  </si>
  <si>
    <t xml:space="preserve">Executive Summary  ·  FY2025 YTD</t>
  </si>
  <si>
    <t xml:space="preserve">Stripe × Xero consolidated financial snapshot — live from Raw sheets</t>
  </si>
  <si>
    <t xml:space="preserve">TOTAL REVENUE YTD</t>
  </si>
  <si>
    <t xml:space="preserve">TOTAL EXPENSES YTD</t>
  </si>
  <si>
    <t xml:space="preserve">NET PROFIT YTD</t>
  </si>
  <si>
    <t xml:space="preserve">GROSS MARGIN YTD</t>
  </si>
  <si>
    <t xml:space="preserve">NET PROFIT MARGIN</t>
  </si>
  <si>
    <t xml:space="preserve">A/R OUTSTANDING (USD)</t>
  </si>
  <si>
    <t xml:space="preserve">META COST YTD (ADD-BACK)</t>
  </si>
  <si>
    <t xml:space="preserve">META DISCOUNTS CAPTURED</t>
  </si>
  <si>
    <t xml:space="preserve">  MONTHLY SNAPSHOT</t>
  </si>
  <si>
    <t xml:space="preserve">Month</t>
  </si>
  <si>
    <t xml:space="preserve">Revenue</t>
  </si>
  <si>
    <t xml:space="preserve">Meta Cost</t>
  </si>
  <si>
    <t xml:space="preserve">OpEx</t>
  </si>
  <si>
    <t xml:space="preserve">Net Profit</t>
  </si>
  <si>
    <t xml:space="preserve">Margin %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</si>
  <si>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</si>
  <si>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</si>
  <si>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</si>
  <si>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</si>
  <si>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</si>
  <si>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</si>
  <si>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</si>
  <si>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</si>
  <si>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</si>
  <si>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</si>
  <si>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</si>
  <si>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</si>
  <si>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YTD TOTAL</t>
  </si>
  <si>
    <t xml:space="preserve">  REVENUE vs EXPENSES TREND</t>
  </si>
  <si>
    <t xml:space="preserve">  NET PROFIT BY MONTH</t>
  </si>
  <si>
    <t xml:space="preserve">Revenue Dashboard  ·  FY2025</t>
  </si>
  <si>
    <t xml:space="preserve">Live SUMIFS by category × month — auto-updates from Raw_Stripe</t>
  </si>
  <si>
    <t xml:space="preserve">  REVENUE BY CATEGORY × MONTH  (USD equivalent)</t>
  </si>
  <si>
    <t xml:space="preserve">Category</t>
  </si>
  <si>
    <t xml:space="preserve">YTD Total</t>
  </si>
  <si>
    <t xml:space="preserve">WhatsApp</t>
  </si>
  <si>
    <t xml:space="preserve">Subscription</t>
  </si>
  <si>
    <t xml:space="preserve">Development</t>
  </si>
  <si>
    <t xml:space="preserve">Other Services</t>
  </si>
  <si>
    <t xml:space="preserve">TOTAL REVENUE</t>
  </si>
  <si>
    <t xml:space="preserve">MoM Growth %</t>
  </si>
  <si>
    <t xml:space="preserve">—</t>
  </si>
  <si>
    <t xml:space="preserve">  REVENUE TREND CHART  (clustered bar — categories × months)</t>
  </si>
  <si>
    <t xml:space="preserve">Receivables Aging  ·  UAE &amp; Singapore</t>
  </si>
  <si>
    <t xml:space="preserve">Outstanding by customer, bucketed by invoice age — live from Raw_Stripe</t>
  </si>
  <si>
    <t xml:space="preserve">  UAE Company  (UAE)</t>
  </si>
  <si>
    <t xml:space="preserve">Customer</t>
  </si>
  <si>
    <t xml:space="preserve">Total Outstanding</t>
  </si>
  <si>
    <t xml:space="preserve">Current (0-30)</t>
  </si>
  <si>
    <t xml:space="preserve">31-60 days</t>
  </si>
  <si>
    <t xml:space="preserve">60+ days</t>
  </si>
  <si>
    <t xml:space="preserve">Currency</t>
  </si>
  <si>
    <t xml:space="preserve">USD Equivalent</t>
  </si>
  <si>
    <t xml:space="preserve">% of Total</t>
  </si>
  <si>
    <t xml:space="preserve">Oldest Inv.</t>
  </si>
  <si>
    <t xml:space="preserve">Status</t>
  </si>
  <si>
    <t xml:space="preserve">Alphabet Logistics LLC</t>
  </si>
  <si>
    <t xml:space="preserve">AED</t>
  </si>
  <si>
    <t xml:space="preserve">Emirates Retail Group</t>
  </si>
  <si>
    <t xml:space="preserve">Gulf Tech Distribution</t>
  </si>
  <si>
    <t xml:space="preserve">USD</t>
  </si>
  <si>
    <t xml:space="preserve">Dubai Properties Co</t>
  </si>
  <si>
    <t xml:space="preserve">Abu Dhabi Trading</t>
  </si>
  <si>
    <t xml:space="preserve">Rak Bank Digital</t>
  </si>
  <si>
    <t xml:space="preserve">Global SaaS Inc</t>
  </si>
  <si>
    <t xml:space="preserve">Mena Apps FZ-LLC</t>
  </si>
  <si>
    <t xml:space="preserve">TOTAL UAE</t>
  </si>
  <si>
    <t xml:space="preserve">  Singapore Company  (SG)</t>
  </si>
  <si>
    <t xml:space="preserve">Singapore FinTech Hub</t>
  </si>
  <si>
    <t xml:space="preserve">SGD</t>
  </si>
  <si>
    <t xml:space="preserve">Asia Pacific Solutions</t>
  </si>
  <si>
    <t xml:space="preserve">Marina Bay Holdings</t>
  </si>
  <si>
    <t xml:space="preserve">Lion City Media</t>
  </si>
  <si>
    <t xml:space="preserve">Sentosa E-Commerce</t>
  </si>
  <si>
    <t xml:space="preserve">Orchard Retail Pte</t>
  </si>
  <si>
    <t xml:space="preserve">Jakarta Digital Ventures</t>
  </si>
  <si>
    <t xml:space="preserve">TOTAL SG</t>
  </si>
  <si>
    <t xml:space="preserve">  COMBINED A/R SUMMARY</t>
  </si>
  <si>
    <t xml:space="preserve">Total UAE Outstanding (USD)</t>
  </si>
  <si>
    <t xml:space="preserve">Total SG Outstanding (USD)</t>
  </si>
  <si>
    <t xml:space="preserve">Combined Outstanding (USD)</t>
  </si>
  <si>
    <t xml:space="preserve">Customers with 60+ days A/R</t>
  </si>
  <si>
    <t xml:space="preserve">Customer Receivables  ·  Xero + Stripe</t>
  </si>
  <si>
    <t xml:space="preserve">Per-customer invoice status breakdown — Draft · Unsent · AwaitPay · Partial · Paid · Void</t>
  </si>
  <si>
    <t xml:space="preserve">  XERO CUSTOMER RECEIVABLES  (per customer × invoice status)</t>
  </si>
  <si>
    <t xml:space="preserve">Total Invoiced USD</t>
  </si>
  <si>
    <t xml:space="preserve">Draft</t>
  </si>
  <si>
    <t xml:space="preserve">Unsent</t>
  </si>
  <si>
    <t xml:space="preserve">Await Pay</t>
  </si>
  <si>
    <t xml:space="preserve">Partial</t>
  </si>
  <si>
    <t xml:space="preserve">Paid</t>
  </si>
  <si>
    <t xml:space="preserve">Void</t>
  </si>
  <si>
    <t xml:space="preserve">Outstanding USD</t>
  </si>
  <si>
    <t xml:space="preserve"># Invoices</t>
  </si>
  <si>
    <t xml:space="preserve">TOTAL</t>
  </si>
  <si>
    <t xml:space="preserve">  STRIPE CUSTOMER RECEIVABLES  (per customer × invoice status)</t>
  </si>
  <si>
    <t xml:space="preserve">  COMBINED RECEIVABLES SUMMARY</t>
  </si>
  <si>
    <t xml:space="preserve">Xero: Total Invoiced (USD)</t>
  </si>
  <si>
    <t xml:space="preserve">Xero: Outstanding (USD)</t>
  </si>
  <si>
    <t xml:space="preserve">Stripe: Total Charged (USD)</t>
  </si>
  <si>
    <t xml:space="preserve">Stripe: Outstanding (USD)</t>
  </si>
  <si>
    <t xml:space="preserve">Xero: # Invoices Total</t>
  </si>
  <si>
    <t xml:space="preserve">Stripe: # Transactions Total</t>
  </si>
  <si>
    <t xml:space="preserve">Xero: Draft Invoices Count</t>
  </si>
  <si>
    <t xml:space="preserve">Xero: Unsent Invoices Count</t>
  </si>
  <si>
    <t xml:space="preserve">Xero: Void Invoices Count</t>
  </si>
  <si>
    <t xml:space="preserve">Stripe: Draft Transactions Count</t>
  </si>
  <si>
    <t xml:space="preserve">Stripe: Unsent Transactions Count</t>
  </si>
  <si>
    <t xml:space="preserve">Stripe: Void Transactions Count</t>
  </si>
  <si>
    <t xml:space="preserve">  STATUS LEGEND</t>
  </si>
  <si>
    <t xml:space="preserve">Invoice created but not yet finalized/sent. Cannot be paid yet.</t>
  </si>
  <si>
    <t xml:space="preserve">Invoice finalized but not yet emailed to customer.</t>
  </si>
  <si>
    <t xml:space="preserve">Awaiting Payment</t>
  </si>
  <si>
    <t xml:space="preserve">Invoice sent to customer, awaiting payment (overdue if past due).</t>
  </si>
  <si>
    <t xml:space="preserve">Customer has paid part of the invoice; balance still owed.</t>
  </si>
  <si>
    <t xml:space="preserve">Invoice fully paid. Counted in revenue but not in outstanding.</t>
  </si>
  <si>
    <t xml:space="preserve">Invoice cancelled. Excluded from revenue and outstanding totals.</t>
  </si>
  <si>
    <t xml:space="preserve">Meta Expenses  ·  With Discount Add-Back</t>
  </si>
  <si>
    <t xml:space="preserve">Per-customer Meta cost: Net Paid + Discount Given = Amount With Add-Back (USD)</t>
  </si>
  <si>
    <t xml:space="preserve">  PER-CUSTOMER META COST  (USD equivalent, with add-back)</t>
  </si>
  <si>
    <t xml:space="preserve">Gross Billed</t>
  </si>
  <si>
    <t xml:space="preserve">Discount Given</t>
  </si>
  <si>
    <t xml:space="preserve">Net Paid</t>
  </si>
  <si>
    <t xml:space="preserve">Amount With AddBack</t>
  </si>
  <si>
    <t xml:space="preserve">% Discount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</si>
  <si>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</si>
  <si>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</si>
  <si>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</si>
  <si>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</si>
  <si>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</si>
  <si>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</si>
  <si>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Jul-Aug-Dec</t>
  </si>
  <si>
    <t xml:space="preserve">  MONTHLY META COST TREND  (USD with add-back)</t>
  </si>
  <si>
    <t xml:space="preserve">Net Paid USD</t>
  </si>
  <si>
    <t xml:space="preserve">Discount USD</t>
  </si>
  <si>
    <t xml:space="preserve">AddBack USD</t>
  </si>
  <si>
    <t xml:space="preserve">  META COST CHART  (Net Paid vs Add-Back, monthly)</t>
  </si>
  <si>
    <t xml:space="preserve">P&amp;L Statement  ·  Monthly FY2025</t>
  </si>
  <si>
    <t xml:space="preserve">Revenue − Meta Costs − Stripe Fees − OpEx (Xero) − Bank Charges = Net Profit</t>
  </si>
  <si>
    <t xml:space="preserve">  PROFIT &amp; LOSS  (USD equivalent)</t>
  </si>
  <si>
    <t xml:space="preserve">Line Item</t>
  </si>
  <si>
    <t xml:space="preserve">% Rev</t>
  </si>
  <si>
    <t xml:space="preserve">  WhatsApp Revenue</t>
  </si>
  <si>
    <t xml:space="preserve">  Subscription Revenue</t>
  </si>
  <si>
    <t xml:space="preserve">  Development Revenue</t>
  </si>
  <si>
    <t xml:space="preserve">  Other Services Revenue</t>
  </si>
  <si>
    <t xml:space="preserve">COST OF REVENUE</t>
  </si>
  <si>
    <t xml:space="preserve">  Meta Cost (with add-back)</t>
  </si>
  <si>
    <t xml:space="preserve">Total COGS</t>
  </si>
  <si>
    <t xml:space="preserve">GROSS PROFIT</t>
  </si>
  <si>
    <t xml:space="preserve">OPERATING EXPENSES</t>
  </si>
  <si>
    <t xml:space="preserve">  Stripe Processing Fees</t>
  </si>
  <si>
    <t xml:space="preserve">  Bank Charges</t>
  </si>
  <si>
    <t xml:space="preserve">  Salaries &amp; Wages</t>
  </si>
  <si>
    <t xml:space="preserve">  Office Rent</t>
  </si>
  <si>
    <t xml:space="preserve">  Utilities</t>
  </si>
  <si>
    <t xml:space="preserve">Total Operating Expenses</t>
  </si>
  <si>
    <t xml:space="preserve">NET PROFIT</t>
  </si>
  <si>
    <t xml:space="preserve">  Net Profit Margin %</t>
  </si>
  <si>
    <t xml:space="preserve">  P&amp;L TREND  (Revenue, Total OpEx, Net Profit)</t>
  </si>
  <si>
    <t xml:space="preserve">Formula Audit Trail</t>
  </si>
  <si>
    <t xml:space="preserve">Every key live formula in the workbook — transparency &amp; verification</t>
  </si>
  <si>
    <t xml:space="preserve">  KEY FORMULAS BY SHEET</t>
  </si>
  <si>
    <t xml:space="preserve">Sheet</t>
  </si>
  <si>
    <t xml:space="preserve">Cell(s)</t>
  </si>
  <si>
    <t xml:space="preserve">Formula</t>
  </si>
  <si>
    <t xml:space="preserve">Description</t>
  </si>
  <si>
    <t xml:space="preserve">H6:H49</t>
  </si>
  <si>
    <t xml:space="preserve">'=F*INDEX(Settings_FX!$C$16:$I$27, MATCH(TEXT(C,"mmm-yy"),Settings_FX!$B$16:$B$27,0), MATCH(G,Settings_FX!$C$15:$I$15,0))</t>
  </si>
  <si>
    <t xml:space="preserve">Converts native-currency amount to USD using the monthly FX rate table.</t>
  </si>
  <si>
    <t xml:space="preserve">J6:J49</t>
  </si>
  <si>
    <t xml:space="preserve">'=F-I  (Amount − Stripe Fee)</t>
  </si>
  <si>
    <t xml:space="preserve">Net amount after Stripe processing fee deducted.</t>
  </si>
  <si>
    <t xml:space="preserve">L6:L49</t>
  </si>
  <si>
    <t xml:space="preserve">'=J-K  (Net Amount − Amount Received)</t>
  </si>
  <si>
    <t xml:space="preserve">Outstanding A/R — drives the Receivables_Aging sheet.</t>
  </si>
  <si>
    <t xml:space="preserve">M6:M49</t>
  </si>
  <si>
    <t xml:space="preserve">'=TEXT(C,"mmm-yy")</t>
  </si>
  <si>
    <t xml:space="preserve">Derives the month label (Jan-25, Feb-25…) used by SUMIFS in dashboards.</t>
  </si>
  <si>
    <t xml:space="preserve">K6:K28</t>
  </si>
  <si>
    <t xml:space="preserve">'=I+H  (Net Paid + Discount Given)</t>
  </si>
  <si>
    <t xml:space="preserve">★ META ADD-BACK LOGIC — reverses Meta's discount to show the full gross charge per customer.</t>
  </si>
  <si>
    <t xml:space="preserve">L6:L28</t>
  </si>
  <si>
    <t xml:space="preserve">'=K*INDEX(...) MATCH(currency)</t>
  </si>
  <si>
    <t xml:space="preserve">Converts the add-back amount to USD using monthly FX rates.</t>
  </si>
  <si>
    <t xml:space="preserve">B16:I27</t>
  </si>
  <si>
    <t xml:space="preserve">(editable FX rate table)</t>
  </si>
  <si>
    <t xml:space="preserve">User-maintained table: 1 unit of currency = X USD. Update monthly.</t>
  </si>
  <si>
    <t xml:space="preserve">B32:H46</t>
  </si>
  <si>
    <t xml:space="preserve">(customer master table)</t>
  </si>
  <si>
    <t xml:space="preserve">Maps customer name → entity (UAE/SG), default currency, primary category.</t>
  </si>
  <si>
    <t xml:space="preserve">C7:N9</t>
  </si>
  <si>
    <t xml:space="preserve">'=SUMIFS(Raw_Stripe!$H:$H, Raw_Stripe!$M:$M, "Jan-25", Raw_Stripe!$N:$N, "WhatsApp")</t>
  </si>
  <si>
    <t xml:space="preserve">Sums USD-equivalent Stripe revenue by month and category (WhatsApp/Subscription/Development).</t>
  </si>
  <si>
    <t xml:space="preserve">O7:O9</t>
  </si>
  <si>
    <t xml:space="preserve">'=SUM(C:N) for the row</t>
  </si>
  <si>
    <t xml:space="preserve">YTD total per category.</t>
  </si>
  <si>
    <t xml:space="preserve">C10:N10</t>
  </si>
  <si>
    <t xml:space="preserve">'=SUM(C7:C9)</t>
  </si>
  <si>
    <t xml:space="preserve">Total monthly revenue across all three categories.</t>
  </si>
  <si>
    <t xml:space="preserve">D11:N11</t>
  </si>
  <si>
    <t xml:space="preserve">'=IFERROR((D10/C10)-1, "-")</t>
  </si>
  <si>
    <t xml:space="preserve">Month-over-month revenue growth %. Conditional formatting: green positive, red negative.</t>
  </si>
  <si>
    <t xml:space="preserve">C7</t>
  </si>
  <si>
    <t xml:space="preserve">'=SUMIFS(Raw_Stripe!$L:$L, Raw_Stripe!$D:$D, B7, Raw_Stripe!$O:$O, "UAE")</t>
  </si>
  <si>
    <t xml:space="preserve">Total outstanding A/R for a single UAE customer.</t>
  </si>
  <si>
    <t xml:space="preserve">D7</t>
  </si>
  <si>
    <t xml:space="preserve">'=SUMIFS(Raw_Stripe!$L:$L, ..., Raw_Stripe!$C:$C, "&gt;="&amp;(TODAY()-30))</t>
  </si>
  <si>
    <t xml:space="preserve">Current bucket — invoice date within last 30 days.</t>
  </si>
  <si>
    <t xml:space="preserve">E7</t>
  </si>
  <si>
    <t xml:space="preserve">'=SUMIFS(..., Raw_Stripe!$C:$C, "&gt;="&amp;(TODAY()-60), Raw_Stripe!$C:$C, "&lt;"&amp;(TODAY()-30))</t>
  </si>
  <si>
    <t xml:space="preserve">31-60 day bucket.</t>
  </si>
  <si>
    <t xml:space="preserve">F7</t>
  </si>
  <si>
    <t xml:space="preserve">'=SUMIFS(..., Raw_Stripe!$C:$C, "&lt;"&amp;(TODAY()-60))</t>
  </si>
  <si>
    <t xml:space="preserve">60+ day bucket — flagged red in dashboard.</t>
  </si>
  <si>
    <t xml:space="preserve">I7</t>
  </si>
  <si>
    <t xml:space="preserve">'=IFERROR(C7/$C$tr, 0)</t>
  </si>
  <si>
    <t xml:space="preserve">% of entity total outstanding for this customer.</t>
  </si>
  <si>
    <t xml:space="preserve">'=SUMIFS(Raw_Meta!$L:$L, Raw_Meta!$E:$E, B7)</t>
  </si>
  <si>
    <t xml:space="preserve">Per-customer Meta cost in USD (with add-back) — the 'single amount per customer' figure.</t>
  </si>
  <si>
    <t xml:space="preserve">'=IFERROR(SUMIFS(L,E,B)*SUMIFS(H,E,B)/SUMIFS(G,E,B), 0)</t>
  </si>
  <si>
    <t xml:space="preserve">Per-customer Meta discount given, converted to USD using the customer's blended FX rate.</t>
  </si>
  <si>
    <t xml:space="preserve">'=C-D  (Gross − Discount)</t>
  </si>
  <si>
    <t xml:space="preserve">Per-customer net paid to Meta, in USD.</t>
  </si>
  <si>
    <t xml:space="preserve">'=C  (same as Gross USD)</t>
  </si>
  <si>
    <t xml:space="preserve">★ Amount With Add-Back USD per customer — drives the per-customer billing view.</t>
  </si>
  <si>
    <t xml:space="preserve">G7</t>
  </si>
  <si>
    <t xml:space="preserve">'=IFERROR(D/C, 0)</t>
  </si>
  <si>
    <t xml:space="preserve">Discount % — what fraction of gross Meta gave back as discount.</t>
  </si>
  <si>
    <t xml:space="preserve">C7:N10</t>
  </si>
  <si>
    <t xml:space="preserve">Monthly revenue per category (4 rows: WhatsApp/Subscription/Development/Other Services).</t>
  </si>
  <si>
    <t xml:space="preserve">C11:N11</t>
  </si>
  <si>
    <t xml:space="preserve">'=SUM(C7:C10)</t>
  </si>
  <si>
    <t xml:space="preserve">Total monthly revenue across all 4 categories.</t>
  </si>
  <si>
    <t xml:space="preserve">C14:N14</t>
  </si>
  <si>
    <t xml:space="preserve">'=SUMIFS(Raw_Meta!$L:$L, Raw_Meta!$N:$N, "Jan-25")</t>
  </si>
  <si>
    <t xml:space="preserve">Monthly Meta cost WITH add-back — this is COGS in the P&amp;L.</t>
  </si>
  <si>
    <t xml:space="preserve">C16:N16</t>
  </si>
  <si>
    <t xml:space="preserve">'=C11-C15  (Revenue − COGS)</t>
  </si>
  <si>
    <t xml:space="preserve">Gross profit per month.</t>
  </si>
  <si>
    <t xml:space="preserve">C19:N19</t>
  </si>
  <si>
    <t xml:space="preserve">'=SUMIFS(Raw_Stripe!$I:$I, Raw_Stripe!$M:$M, "Jan-25")</t>
  </si>
  <si>
    <t xml:space="preserve">Monthly Stripe processing fees.</t>
  </si>
  <si>
    <t xml:space="preserve">C20:N20</t>
  </si>
  <si>
    <t xml:space="preserve">'=SUMIFS(Raw_Bank!$H:$H, Raw_Bank!$J:$J, "Jan-25", Raw_Bank!$E:$E, "&gt;0")</t>
  </si>
  <si>
    <t xml:space="preserve">Monthly bank charges (debits) in USD.</t>
  </si>
  <si>
    <t xml:space="preserve">C21:N21</t>
  </si>
  <si>
    <t xml:space="preserve">'=SUMIFS(Raw_Xero!$I:$I, Raw_Xero!$K:$K, "Jan-25", Raw_Xero!$C:$C, "5000")</t>
  </si>
  <si>
    <t xml:space="preserve">Monthly salaries (Xero account 5000) in USD.</t>
  </si>
  <si>
    <t xml:space="preserve">C26:N26</t>
  </si>
  <si>
    <t xml:space="preserve">'=C16-C24  (Gross Profit − Total OpEx)</t>
  </si>
  <si>
    <t xml:space="preserve">Monthly NET PROFIT. Conditional formatting: green positive, red negative.</t>
  </si>
  <si>
    <t xml:space="preserve">C27:N27</t>
  </si>
  <si>
    <t xml:space="preserve">'=IFERROR(C26/C11, 0)</t>
  </si>
  <si>
    <t xml:space="preserve">Monthly net profit margin %.</t>
  </si>
  <si>
    <t xml:space="preserve">H6:H26</t>
  </si>
  <si>
    <t xml:space="preserve">'=F*INDEX(Settings_FX!...) MATCH(currency)</t>
  </si>
  <si>
    <t xml:space="preserve">Converts native-currency invoice amount to USD using monthly FX rates.</t>
  </si>
  <si>
    <t xml:space="preserve">J6:J26</t>
  </si>
  <si>
    <t xml:space="preserve">'=H-(I*INDEX(Settings_FX!...))</t>
  </si>
  <si>
    <t xml:space="preserve">Outstanding USD = Invoice USD − (Paid native × FX rate).</t>
  </si>
  <si>
    <t xml:space="preserve">'=SUMIFS(Raw_Xero_Invoices!$H:$H, Raw_Xero_Invoices!$D:$D, B7)</t>
  </si>
  <si>
    <t xml:space="preserve">Per-customer total invoiced USD from Xero (all statuses including void).</t>
  </si>
  <si>
    <t xml:space="preserve">D7:I7</t>
  </si>
  <si>
    <t xml:space="preserve">'=SUMIFS(Raw_Xero_Invoices!$H:$H, Raw_Xero_Invoices!$D:$D, B7, Raw_Xero_Invoices!$M:$M, "Draft")</t>
  </si>
  <si>
    <t xml:space="preserve">★ Per-customer invoice amount by status — Draft/Unsent/AwaitPay/Partial/Paid/Void columns.</t>
  </si>
  <si>
    <t xml:space="preserve">J7</t>
  </si>
  <si>
    <t xml:space="preserve">'=D7+E7+F7+G7  (Draft+Unsent+AwaitPay+Partial)</t>
  </si>
  <si>
    <t xml:space="preserve">Outstanding USD = everything not yet Paid or Void. Drives the data-bar visualization.</t>
  </si>
  <si>
    <t xml:space="preserve">K7</t>
  </si>
  <si>
    <t xml:space="preserve">'=COUNTIFS(Raw_Xero_Invoices!$D:$D, B7)</t>
  </si>
  <si>
    <t xml:space="preserve">Count of Xero invoices for this customer.</t>
  </si>
  <si>
    <t xml:space="preserve">C24 (Stripe section)</t>
  </si>
  <si>
    <t xml:space="preserve">'=SUMIFS(Raw_Stripe!$H:$H, Raw_Stripe!$D:$D, B24)</t>
  </si>
  <si>
    <t xml:space="preserve">Per-customer total charged USD from Stripe (all statuses).</t>
  </si>
  <si>
    <t xml:space="preserve">D24:I24</t>
  </si>
  <si>
    <t xml:space="preserve">'=SUMIFS(Raw_Stripe!$H:$H, Raw_Stripe!$D:$D, B24, Raw_Stripe!$P:$P, "Draft")</t>
  </si>
  <si>
    <t xml:space="preserve">★ Per-customer Stripe charge amount by status — same 6-status breakdown.</t>
  </si>
  <si>
    <t xml:space="preserve">B6</t>
  </si>
  <si>
    <t xml:space="preserve">'=PnL_Statement!O11</t>
  </si>
  <si>
    <t xml:space="preserve">YTD Total Revenue — pulled from P&amp;L statement grand total.</t>
  </si>
  <si>
    <t xml:space="preserve">E6</t>
  </si>
  <si>
    <t xml:space="preserve">'=PnL_Statement!O15 + PnL_Statement!O24</t>
  </si>
  <si>
    <t xml:space="preserve">YTD Total Expenses = COGS + OpEx.</t>
  </si>
  <si>
    <t xml:space="preserve">H6</t>
  </si>
  <si>
    <t xml:space="preserve">'=PnL_Statement!O26</t>
  </si>
  <si>
    <t xml:space="preserve">YTD Net Profit.</t>
  </si>
  <si>
    <t xml:space="preserve">K6</t>
  </si>
  <si>
    <t xml:space="preserve">'=PnL_Statement!P16</t>
  </si>
  <si>
    <t xml:space="preserve">YTD Gross Margin %.</t>
  </si>
  <si>
    <t xml:space="preserve">E9</t>
  </si>
  <si>
    <t xml:space="preserve">'=SUM(Raw_Stripe!L:L)</t>
  </si>
  <si>
    <t xml:space="preserve">Total A/R Outstanding across all customers.</t>
  </si>
  <si>
    <t xml:space="preserve">H9</t>
  </si>
  <si>
    <t xml:space="preserve">'=SUM(Raw_Meta!L:L)</t>
  </si>
  <si>
    <t xml:space="preserve">YTD Meta Cost with add-back.</t>
  </si>
  <si>
    <t xml:space="preserve">★ = Meta discount add-back logic (the unique feature of this dashboard).  All other formulas follow standard SUMIFS / INDEX-MATCH patterns.  Edit any blue input cell — every dependent formula refreshes automatically.</t>
  </si>
  <si>
    <t xml:space="preserve">Raw Stripe Transactions</t>
  </si>
  <si>
    <t xml:space="preserve">Paste Stripe export rows below — formulas in grey columns auto-calculate</t>
  </si>
  <si>
    <t xml:space="preserve">Txn ID</t>
  </si>
  <si>
    <t xml:space="preserve">Date</t>
  </si>
  <si>
    <t xml:space="preserve">Amount</t>
  </si>
  <si>
    <t xml:space="preserve">Amount USD</t>
  </si>
  <si>
    <t xml:space="preserve">Stripe Fee</t>
  </si>
  <si>
    <t xml:space="preserve">Net Amount</t>
  </si>
  <si>
    <t xml:space="preserve">Amount Received</t>
  </si>
  <si>
    <t xml:space="preserve">Outstanding</t>
  </si>
  <si>
    <t xml:space="preserve">Entity</t>
  </si>
  <si>
    <t xml:space="preserve">ch_001</t>
  </si>
  <si>
    <t xml:space="preserve">WABA msgs Jan</t>
  </si>
  <si>
    <t xml:space="preserve">UAE</t>
  </si>
  <si>
    <t xml:space="preserve">ch_002</t>
  </si>
  <si>
    <t xml:space="preserve">Sub monthly Jan</t>
  </si>
  <si>
    <t xml:space="preserve">ch_003</t>
  </si>
  <si>
    <t xml:space="preserve">Dev hourly 40h</t>
  </si>
  <si>
    <t xml:space="preserve">ch_004</t>
  </si>
  <si>
    <t xml:space="preserve">SG</t>
  </si>
  <si>
    <t xml:space="preserve">ch_005</t>
  </si>
  <si>
    <t xml:space="preserve">Sub annual</t>
  </si>
  <si>
    <t xml:space="preserve">ch_006</t>
  </si>
  <si>
    <t xml:space="preserve">WABA topup</t>
  </si>
  <si>
    <t xml:space="preserve">ch_007</t>
  </si>
  <si>
    <t xml:space="preserve">WABA msgs Feb</t>
  </si>
  <si>
    <t xml:space="preserve">ch_008</t>
  </si>
  <si>
    <t xml:space="preserve">Sub monthly Feb</t>
  </si>
  <si>
    <t xml:space="preserve">ch_009</t>
  </si>
  <si>
    <t xml:space="preserve">Dev fixed phase 2</t>
  </si>
  <si>
    <t xml:space="preserve">ch_010</t>
  </si>
  <si>
    <t xml:space="preserve">ch_011</t>
  </si>
  <si>
    <t xml:space="preserve">WABA msgs Mar</t>
  </si>
  <si>
    <t xml:space="preserve">ch_012</t>
  </si>
  <si>
    <t xml:space="preserve">Sub monthly Mar</t>
  </si>
  <si>
    <t xml:space="preserve">ch_013</t>
  </si>
  <si>
    <t xml:space="preserve">Dev retainer Mar</t>
  </si>
  <si>
    <t xml:space="preserve">ch_014</t>
  </si>
  <si>
    <t xml:space="preserve">Dev fixed Q1</t>
  </si>
  <si>
    <t xml:space="preserve">ch_015</t>
  </si>
  <si>
    <t xml:space="preserve">ch_016</t>
  </si>
  <si>
    <t xml:space="preserve">WABA msgs Apr</t>
  </si>
  <si>
    <t xml:space="preserve">ch_017</t>
  </si>
  <si>
    <t xml:space="preserve">Sub monthly Apr</t>
  </si>
  <si>
    <t xml:space="preserve">ch_018</t>
  </si>
  <si>
    <t xml:space="preserve">ch_019</t>
  </si>
  <si>
    <t xml:space="preserve">WABA msgs May</t>
  </si>
  <si>
    <t xml:space="preserve">ch_020</t>
  </si>
  <si>
    <t xml:space="preserve">Dev retainer May</t>
  </si>
  <si>
    <t xml:space="preserve">ch_021</t>
  </si>
  <si>
    <t xml:space="preserve">Sub monthly May</t>
  </si>
  <si>
    <t xml:space="preserve">ch_022</t>
  </si>
  <si>
    <t xml:space="preserve">WABA msgs Jun</t>
  </si>
  <si>
    <t xml:space="preserve">ch_023</t>
  </si>
  <si>
    <t xml:space="preserve">ch_024</t>
  </si>
  <si>
    <t xml:space="preserve">ch_025</t>
  </si>
  <si>
    <t xml:space="preserve">Dev fixed Q3</t>
  </si>
  <si>
    <t xml:space="preserve">ch_026</t>
  </si>
  <si>
    <t xml:space="preserve">WABA msgs Jul</t>
  </si>
  <si>
    <t xml:space="preserve">ch_027</t>
  </si>
  <si>
    <t xml:space="preserve">WABA msgs Aug</t>
  </si>
  <si>
    <t xml:space="preserve">ch_028</t>
  </si>
  <si>
    <t xml:space="preserve">Dev retainer Sep</t>
  </si>
  <si>
    <t xml:space="preserve">ch_029</t>
  </si>
  <si>
    <t xml:space="preserve">Onboarding training</t>
  </si>
  <si>
    <t xml:space="preserve">ch_030</t>
  </si>
  <si>
    <t xml:space="preserve">API integration svc</t>
  </si>
  <si>
    <t xml:space="preserve">ch_031</t>
  </si>
  <si>
    <t xml:space="preserve">Consulting Mar</t>
  </si>
  <si>
    <t xml:space="preserve">ch_032</t>
  </si>
  <si>
    <t xml:space="preserve">Migration service</t>
  </si>
  <si>
    <t xml:space="preserve">ch_033</t>
  </si>
  <si>
    <t xml:space="preserve">Custom report build</t>
  </si>
  <si>
    <t xml:space="preserve">ch_034</t>
  </si>
  <si>
    <t xml:space="preserve">Workshop facilitation</t>
  </si>
  <si>
    <t xml:space="preserve">ch_035</t>
  </si>
  <si>
    <t xml:space="preserve">Premium support Q3</t>
  </si>
  <si>
    <t xml:space="preserve">ch_036</t>
  </si>
  <si>
    <t xml:space="preserve">DevOps setup</t>
  </si>
  <si>
    <t xml:space="preserve">ch_037</t>
  </si>
  <si>
    <t xml:space="preserve">WABA campaign Sep</t>
  </si>
  <si>
    <t xml:space="preserve">ch_038</t>
  </si>
  <si>
    <t xml:space="preserve">Sub annual Oct</t>
  </si>
  <si>
    <t xml:space="preserve">ch_039</t>
  </si>
  <si>
    <t xml:space="preserve">Dev audit Oct</t>
  </si>
  <si>
    <t xml:space="preserve">ch_040</t>
  </si>
  <si>
    <t xml:space="preserve">WABA msgs Nov</t>
  </si>
  <si>
    <t xml:space="preserve">ch_041</t>
  </si>
  <si>
    <t xml:space="preserve">Premium consulting</t>
  </si>
  <si>
    <t xml:space="preserve">ch_042</t>
  </si>
  <si>
    <t xml:space="preserve">Sub monthly Nov</t>
  </si>
  <si>
    <t xml:space="preserve">ch_043</t>
  </si>
  <si>
    <t xml:space="preserve">Dev retainer Dec</t>
  </si>
  <si>
    <t xml:space="preserve">ch_044</t>
  </si>
  <si>
    <t xml:space="preserve">Onsite training Dec</t>
  </si>
  <si>
    <t xml:space="preserve">Blue cells = paste from Stripe export · Italic grey cells = live formulas · Add new rows above the TOTAL row to keep formulas intact.</t>
  </si>
  <si>
    <t xml:space="preserve">Raw Xero Journal Entries</t>
  </si>
  <si>
    <t xml:space="preserve">Paste Xero trial balance / journal export — opex &amp; bank charges flow to P&amp;L</t>
  </si>
  <si>
    <t xml:space="preserve">Account Code</t>
  </si>
  <si>
    <t xml:space="preserve">Account Name</t>
  </si>
  <si>
    <t xml:space="preserve">Debit</t>
  </si>
  <si>
    <t xml:space="preserve">Credit</t>
  </si>
  <si>
    <t xml:space="preserve">4000</t>
  </si>
  <si>
    <t xml:space="preserve">Office Rent</t>
  </si>
  <si>
    <t xml:space="preserve">Jan office rent</t>
  </si>
  <si>
    <t xml:space="preserve">5000</t>
  </si>
  <si>
    <t xml:space="preserve">Salaries</t>
  </si>
  <si>
    <t xml:space="preserve">Jan payroll</t>
  </si>
  <si>
    <t xml:space="preserve">6100</t>
  </si>
  <si>
    <t xml:space="preserve">Utilities</t>
  </si>
  <si>
    <t xml:space="preserve">Jan utilities</t>
  </si>
  <si>
    <t xml:space="preserve">Feb office rent</t>
  </si>
  <si>
    <t xml:space="preserve">Feb payroll</t>
  </si>
  <si>
    <t xml:space="preserve">Feb utilities</t>
  </si>
  <si>
    <t xml:space="preserve">Mar office rent</t>
  </si>
  <si>
    <t xml:space="preserve">Mar payroll</t>
  </si>
  <si>
    <t xml:space="preserve">Mar utilities</t>
  </si>
  <si>
    <t xml:space="preserve">Jan SG rent</t>
  </si>
  <si>
    <t xml:space="preserve">Jan SG payroll</t>
  </si>
  <si>
    <t xml:space="preserve">Feb SG rent</t>
  </si>
  <si>
    <t xml:space="preserve">Feb SG payroll</t>
  </si>
  <si>
    <t xml:space="preserve">Mar SG rent</t>
  </si>
  <si>
    <t xml:space="preserve">Mar SG payroll</t>
  </si>
  <si>
    <t xml:space="preserve">Apr office rent</t>
  </si>
  <si>
    <t xml:space="preserve">Apr payroll</t>
  </si>
  <si>
    <t xml:space="preserve">Apr SG rent</t>
  </si>
  <si>
    <t xml:space="preserve">Apr SG payroll</t>
  </si>
  <si>
    <t xml:space="preserve">May office rent</t>
  </si>
  <si>
    <t xml:space="preserve">May payroll</t>
  </si>
  <si>
    <t xml:space="preserve">Jun office rent</t>
  </si>
  <si>
    <t xml:space="preserve">Jun payroll</t>
  </si>
  <si>
    <t xml:space="preserve">Jul office rent</t>
  </si>
  <si>
    <t xml:space="preserve">Jul payroll</t>
  </si>
  <si>
    <t xml:space="preserve">Raw Xero Customer Invoices</t>
  </si>
  <si>
    <t xml:space="preserve">Invoice-level paste-zone — feeds Customer_Receivables sheet (Void/Draft/Unsent/AwaitPay/Paid)</t>
  </si>
  <si>
    <t xml:space="preserve">Status values: Draft · Unsent · Awaiting Payment · Partial · Paid · Void</t>
  </si>
  <si>
    <t xml:space="preserve">Invoice #</t>
  </si>
  <si>
    <t xml:space="preserve">Amount Paid</t>
  </si>
  <si>
    <t xml:space="preserve">XINV-001</t>
  </si>
  <si>
    <t xml:space="preserve">WABA setup Jan</t>
  </si>
  <si>
    <t xml:space="preserve">XINV-002</t>
  </si>
  <si>
    <t xml:space="preserve">Sub Q1 invoice</t>
  </si>
  <si>
    <t xml:space="preserve">XINV-003</t>
  </si>
  <si>
    <t xml:space="preserve">Dev phase 1</t>
  </si>
  <si>
    <t xml:space="preserve">XINV-004</t>
  </si>
  <si>
    <t xml:space="preserve">WABA platform Feb</t>
  </si>
  <si>
    <t xml:space="preserve">XINV-005</t>
  </si>
  <si>
    <t xml:space="preserve">Sub annual Mar</t>
  </si>
  <si>
    <t xml:space="preserve">XINV-006</t>
  </si>
  <si>
    <t xml:space="preserve">Add-on services</t>
  </si>
  <si>
    <t xml:space="preserve">XINV-007</t>
  </si>
  <si>
    <t xml:space="preserve">Consulting Apr</t>
  </si>
  <si>
    <t xml:space="preserve">XINV-008</t>
  </si>
  <si>
    <t xml:space="preserve">Dev retainer Apr</t>
  </si>
  <si>
    <t xml:space="preserve">XINV-009</t>
  </si>
  <si>
    <t xml:space="preserve">WABA campaign May</t>
  </si>
  <si>
    <t xml:space="preserve">XINV-010</t>
  </si>
  <si>
    <t xml:space="preserve">Sub Q2 invoice</t>
  </si>
  <si>
    <t xml:space="preserve">XINV-011</t>
  </si>
  <si>
    <t xml:space="preserve">XINV-012</t>
  </si>
  <si>
    <t xml:space="preserve">XINV-013</t>
  </si>
  <si>
    <t xml:space="preserve">XINV-014</t>
  </si>
  <si>
    <t xml:space="preserve">Branding package</t>
  </si>
  <si>
    <t xml:space="preserve">XINV-015</t>
  </si>
  <si>
    <t xml:space="preserve">Premium support Sep</t>
  </si>
  <si>
    <t xml:space="preserve">XINV-016</t>
  </si>
  <si>
    <t xml:space="preserve">XINV-017</t>
  </si>
  <si>
    <t xml:space="preserve">WABA topup Oct</t>
  </si>
  <si>
    <t xml:space="preserve">XINV-018</t>
  </si>
  <si>
    <t xml:space="preserve">Sub Q4 invoice</t>
  </si>
  <si>
    <t xml:space="preserve">XINV-019</t>
  </si>
  <si>
    <t xml:space="preserve">Dev retainer Nov</t>
  </si>
  <si>
    <t xml:space="preserve">XINV-020</t>
  </si>
  <si>
    <t xml:space="preserve">WABA msgs Dec</t>
  </si>
  <si>
    <t xml:space="preserve">XINV-021</t>
  </si>
  <si>
    <t xml:space="preserve">Year-end bonus svc</t>
  </si>
  <si>
    <t xml:space="preserve">Raw Bank Statements</t>
  </si>
  <si>
    <t xml:space="preserve">Paste bank statement rows — used for cash flow &amp; bank charge reconciliation</t>
  </si>
  <si>
    <t xml:space="preserve">Account</t>
  </si>
  <si>
    <t xml:space="preserve">Stripe payout ch_001-005</t>
  </si>
  <si>
    <t xml:space="preserve">Mashreq UAE</t>
  </si>
  <si>
    <t xml:space="preserve">Stripe payout ch_003</t>
  </si>
  <si>
    <t xml:space="preserve">DBS SG</t>
  </si>
  <si>
    <t xml:space="preserve">Bank maintenance fee</t>
  </si>
  <si>
    <t xml:space="preserve">Wire transfer fee</t>
  </si>
  <si>
    <t xml:space="preserve">Stripe payout ch_007-010</t>
  </si>
  <si>
    <t xml:space="preserve">Stripe payout ch_009</t>
  </si>
  <si>
    <t xml:space="preserve">Stripe payout ch_011-015</t>
  </si>
  <si>
    <t xml:space="preserve">Stripe payout ch_014</t>
  </si>
  <si>
    <t xml:space="preserve">Stripe payout ch_016-018</t>
  </si>
  <si>
    <t xml:space="preserve">Stripe payout ch_019-021</t>
  </si>
  <si>
    <t xml:space="preserve">Stripe payout ch_020</t>
  </si>
  <si>
    <t xml:space="preserve">Stripe payout ch_022-024</t>
  </si>
  <si>
    <t xml:space="preserve">Stripe payout ch_025-026</t>
  </si>
  <si>
    <t xml:space="preserve">Stripe payout ch_025</t>
  </si>
  <si>
    <t xml:space="preserve">Stripe payout ch_027</t>
  </si>
  <si>
    <t xml:space="preserve">Stripe payout ch_028</t>
  </si>
  <si>
    <t xml:space="preserve">Raw Meta Invoices  (with discount add-back)</t>
  </si>
  <si>
    <t xml:space="preserve">Net_Paid + Discount_Given = Amount With Add-Back · allocated per customer</t>
  </si>
  <si>
    <t xml:space="preserve">Add-Back Logic:  Amount With AddBack = Net Paid + Discount Given  →  shows full gross charge per customer</t>
  </si>
  <si>
    <t xml:space="preserve">Invoice Date</t>
  </si>
  <si>
    <t xml:space="preserve">Period</t>
  </si>
  <si>
    <t xml:space="preserve">Campaign</t>
  </si>
  <si>
    <t xml:space="preserve">INV-M-001</t>
  </si>
  <si>
    <t xml:space="preserve">WABA Jan promo</t>
  </si>
  <si>
    <t xml:space="preserve">INV-M-002</t>
  </si>
  <si>
    <t xml:space="preserve">Retargeting Jan</t>
  </si>
  <si>
    <t xml:space="preserve">INV-M-003</t>
  </si>
  <si>
    <t xml:space="preserve">Lead Gen Jan</t>
  </si>
  <si>
    <t xml:space="preserve">INV-M-004</t>
  </si>
  <si>
    <t xml:space="preserve">WABA Jan SG</t>
  </si>
  <si>
    <t xml:space="preserve">INV-M-005</t>
  </si>
  <si>
    <t xml:space="preserve">WABA Feb promo</t>
  </si>
  <si>
    <t xml:space="preserve">INV-M-006</t>
  </si>
  <si>
    <t xml:space="preserve">Retargeting Feb</t>
  </si>
  <si>
    <t xml:space="preserve">INV-M-007</t>
  </si>
  <si>
    <t xml:space="preserve">Lead Gen Feb</t>
  </si>
  <si>
    <t xml:space="preserve">INV-M-008</t>
  </si>
  <si>
    <t xml:space="preserve">WABA Mar promo</t>
  </si>
  <si>
    <t xml:space="preserve">INV-M-009</t>
  </si>
  <si>
    <t xml:space="preserve">Conversion Mar</t>
  </si>
  <si>
    <t xml:space="preserve">INV-M-010</t>
  </si>
  <si>
    <t xml:space="preserve">Brand Mar</t>
  </si>
  <si>
    <t xml:space="preserve">INV-M-011</t>
  </si>
  <si>
    <t xml:space="preserve">Lead Gen Mar SG</t>
  </si>
  <si>
    <t xml:space="preserve">INV-M-012</t>
  </si>
  <si>
    <t xml:space="preserve">WABA Mar SG</t>
  </si>
  <si>
    <t xml:space="preserve">INV-M-013</t>
  </si>
  <si>
    <t xml:space="preserve">WABA Apr promo</t>
  </si>
  <si>
    <t xml:space="preserve">INV-M-014</t>
  </si>
  <si>
    <t xml:space="preserve">Catalog Apr</t>
  </si>
  <si>
    <t xml:space="preserve">INV-M-015</t>
  </si>
  <si>
    <t xml:space="preserve">WABA May promo</t>
  </si>
  <si>
    <t xml:space="preserve">INV-M-016</t>
  </si>
  <si>
    <t xml:space="preserve">Lead Gen May</t>
  </si>
  <si>
    <t xml:space="preserve">INV-M-017</t>
  </si>
  <si>
    <t xml:space="preserve">Subscription ads May</t>
  </si>
  <si>
    <t xml:space="preserve">INV-M-018</t>
  </si>
  <si>
    <t xml:space="preserve">WABA Jun promo</t>
  </si>
  <si>
    <t xml:space="preserve">INV-M-019</t>
  </si>
  <si>
    <t xml:space="preserve">App install Jun</t>
  </si>
  <si>
    <t xml:space="preserve">INV-M-020</t>
  </si>
  <si>
    <t xml:space="preserve">Retail Jul SG</t>
  </si>
  <si>
    <t xml:space="preserve">INV-M-021</t>
  </si>
  <si>
    <t xml:space="preserve">WABA Jul promo</t>
  </si>
  <si>
    <t xml:space="preserve">INV-M-022</t>
  </si>
  <si>
    <t xml:space="preserve">WABA Aug SG</t>
  </si>
  <si>
    <t xml:space="preserve">INV-M-023</t>
  </si>
  <si>
    <t xml:space="preserve">Lead Gen Sep SG</t>
  </si>
  <si>
    <t xml:space="preserve">Settings &amp; FX Rates</t>
  </si>
  <si>
    <t xml:space="preserve">Edit blue cells only — yellow highlights = key assumptions</t>
  </si>
  <si>
    <t xml:space="preserve">  A · COMPANY SETTINGS</t>
  </si>
  <si>
    <t xml:space="preserve">UAE Company Name</t>
  </si>
  <si>
    <t xml:space="preserve">Acme FZ-LLC</t>
  </si>
  <si>
    <t xml:space="preserve">Singapore Company Name</t>
  </si>
  <si>
    <t xml:space="preserve">Acme Pte Ltd</t>
  </si>
  <si>
    <t xml:space="preserve">Reporting Base Currency</t>
  </si>
  <si>
    <t xml:space="preserve">Stripe Account Currency</t>
  </si>
  <si>
    <t xml:space="preserve">Stripe Fee % (typical)</t>
  </si>
  <si>
    <t xml:space="preserve">Stripe Fixed Fee</t>
  </si>
  <si>
    <t xml:space="preserve">  B · FX RATES TO USD  (editable — update monthly)</t>
  </si>
  <si>
    <t xml:space="preserve">EUR</t>
  </si>
  <si>
    <t xml:space="preserve">GBP</t>
  </si>
  <si>
    <t xml:space="preserve">INR</t>
  </si>
  <si>
    <t xml:space="preserve">PKR</t>
  </si>
  <si>
    <t xml:space="preserve">  C · CUSTOMER MASTER</t>
  </si>
  <si>
    <t xml:space="preserve">Customer ID</t>
  </si>
  <si>
    <t xml:space="preserve">Customer Name</t>
  </si>
  <si>
    <t xml:space="preserve">Default Currency</t>
  </si>
  <si>
    <t xml:space="preserve">Primary Category</t>
  </si>
  <si>
    <t xml:space="preserve">Country</t>
  </si>
  <si>
    <t xml:space="preserve">Active?</t>
  </si>
  <si>
    <t xml:space="preserve">C001</t>
  </si>
  <si>
    <t xml:space="preserve">Yes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</si>
  <si>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</si>
  <si>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</si>
  <si>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</si>
  <si>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</si>
  <si>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</si>
  <si>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</si>
  <si>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</si>
  <si>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</si>
  <si>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</si>
  <si>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</si>
  <si>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</si>
  <si>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</si>
  <si>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</si>
  <si>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</si>
  <si>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  D · REVENUE CATEGORY MAPPING  (Stripe tag → Category)</t>
  </si>
  <si>
    <t xml:space="preserve">Stripe Tag / SKU</t>
  </si>
  <si>
    <t xml:space="preserve">Revenue Category</t>
  </si>
  <si>
    <t xml:space="preserve">P&amp;L Line</t>
  </si>
  <si>
    <t xml:space="preserve">waba_msg</t>
  </si>
  <si>
    <t xml:space="preserve">WhatsApp Revenue</t>
  </si>
  <si>
    <t xml:space="preserve">waba_setup</t>
  </si>
  <si>
    <t xml:space="preserve">sub_monthly</t>
  </si>
  <si>
    <t xml:space="preserve">Subscription Revenue</t>
  </si>
  <si>
    <t xml:space="preserve">sub_annual</t>
  </si>
  <si>
    <t xml:space="preserve">dev_hourly</t>
  </si>
  <si>
    <t xml:space="preserve">Development Revenue</t>
  </si>
  <si>
    <t xml:space="preserve">dev_fixed</t>
  </si>
  <si>
    <t xml:space="preserve">dev_retainer</t>
  </si>
  <si>
    <t xml:space="preserve">oneoff_service</t>
  </si>
  <si>
    <t xml:space="preserve">Other Services Revenue</t>
  </si>
  <si>
    <t xml:space="preserve">consulting</t>
  </si>
  <si>
    <t xml:space="preserve">training</t>
  </si>
  <si>
    <t xml:space="preserve">integration</t>
  </si>
  <si>
    <t xml:space="preserve">premium_support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</si>
</sst>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_);_(\$* \(#,##0\);_(\$* \-_);_(@_)"/>
    <numFmt numFmtId="166" formatCode="0.0%;\(0.0%\);\-"/>
    <numFmt numFmtId="167" formatCode="_(\$* #,##0.00_);_(\$* \(#,##0.00\);_(\$* \-??_);_(@_)"/>
    <numFmt numFmtId="168" formatCode="yyyy\-mm\-dd"/>
    <numFmt numFmtId="169" formatCode="#,##0;\(#,##0\);\-"/>
    <numFmt numFmtId="170" formatCode="0.000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E8EAED"/>
      <name val="Calibri"/>
      <family val="0"/>
      <charset val="1"/>
    </font>
    <font>
      <i val="true"/>
      <sz val="10"/>
      <color rgb="FF9AA0A6"/>
      <name val="Calibri"/>
      <family val="0"/>
      <charset val="1"/>
    </font>
    <font>
      <b val="true"/>
      <sz val="12"/>
      <color rgb="FFE8EAED"/>
      <name val="Calibri"/>
      <family val="0"/>
      <charset val="1"/>
    </font>
    <font>
      <sz val="11"/>
      <color rgb="FFE8EAED"/>
      <name val="Calibri"/>
      <family val="0"/>
      <charset val="1"/>
    </font>
    <font>
      <b val="true"/>
      <sz val="11"/>
      <color rgb="FF635BFF"/>
      <name val="Calibri"/>
      <family val="0"/>
      <charset val="1"/>
    </font>
    <font>
      <b val="true"/>
      <sz val="11"/>
      <color rgb="FFE8EAED"/>
      <name val="Calibri"/>
      <family val="0"/>
      <charset val="1"/>
    </font>
    <font>
      <sz val="10"/>
      <color rgb="FFE8EAED"/>
      <name val="Calibri"/>
      <family val="0"/>
      <charset val="1"/>
    </font>
    <font>
      <b val="true"/>
      <sz val="10"/>
      <color rgb="FF635BFF"/>
      <name val="Calibri"/>
      <family val="0"/>
      <charset val="1"/>
    </font>
    <font>
      <b val="true"/>
      <sz val="9"/>
      <color rgb="FFE8EAED"/>
      <name val="Calibri"/>
      <family val="0"/>
      <charset val="1"/>
    </font>
    <font>
      <b val="true"/>
      <sz val="20"/>
      <color rgb="FFE8EAED"/>
      <name val="Calibri"/>
      <family val="0"/>
      <charset val="1"/>
    </font>
    <font>
      <b val="true"/>
      <sz val="10"/>
      <color rgb="FFE8EAED"/>
      <name val="Calibri"/>
      <family val="0"/>
      <charset val="1"/>
    </font>
    <font>
      <b val="true"/>
      <sz val="10"/>
      <color rgb="FF00D924"/>
      <name val="Calibri"/>
      <family val="0"/>
      <charset val="1"/>
    </font>
    <font>
      <b val="true"/>
      <sz val="13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2"/>
      <color rgb="FF000000"/>
      <name val="Calibri"/>
      <family val="2"/>
    </font>
    <font>
      <b val="true"/>
      <sz val="10"/>
      <color rgb="FF1F2937"/>
      <name val="Calibri"/>
      <family val="0"/>
      <charset val="1"/>
    </font>
    <font>
      <b val="true"/>
      <sz val="10"/>
      <color rgb="FF7C3AED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FF5252"/>
      <name val="Calibri"/>
      <family val="0"/>
      <charset val="1"/>
    </font>
    <font>
      <b val="true"/>
      <sz val="10"/>
      <color rgb="FFFFB323"/>
      <name val="Calibri"/>
      <family val="0"/>
      <charset val="1"/>
    </font>
    <font>
      <b val="true"/>
      <sz val="10"/>
      <color rgb="FF0BA84B"/>
      <name val="Calibri"/>
      <family val="0"/>
      <charset val="1"/>
    </font>
    <font>
      <b val="true"/>
      <sz val="10"/>
      <color rgb="FF9CA3AF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92400E"/>
      <name val="Calibri"/>
      <family val="0"/>
      <charset val="1"/>
    </font>
    <font>
      <sz val="10"/>
      <color rgb="FF92400E"/>
      <name val="Calibri"/>
      <family val="0"/>
      <charset val="1"/>
    </font>
    <font>
      <i val="true"/>
      <sz val="9"/>
      <color rgb="FF4F46E5"/>
      <name val="Calibri"/>
      <family val="0"/>
      <charset val="1"/>
    </font>
    <font>
      <i val="true"/>
      <sz val="9"/>
      <color rgb="FF9AA0A6"/>
      <name val="Calibri"/>
      <family val="0"/>
      <charset val="1"/>
    </font>
    <font>
      <sz val="10"/>
      <color rgb="FF2563E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i val="true"/>
      <sz val="10"/>
      <color rgb="FF9CA3AF"/>
      <name val="Calibri"/>
      <family val="0"/>
      <charset val="1"/>
    </font>
    <font>
      <i val="true"/>
      <sz val="9"/>
      <color rgb="FFE8EAED"/>
      <name val="Calibri"/>
      <family val="0"/>
      <charset val="1"/>
    </font>
    <font>
      <b val="true"/>
      <sz val="11"/>
      <color rgb="FF2563EB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16263F"/>
      </patternFill>
    </fill>
    <fill>
      <patternFill patternType="solid">
        <fgColor rgb="FF635BFF"/>
        <bgColor rgb="FF4F46E5"/>
      </patternFill>
    </fill>
    <fill>
      <patternFill patternType="solid">
        <fgColor rgb="FF1B2A4A"/>
        <bgColor rgb="FF16263F"/>
      </patternFill>
    </fill>
    <fill>
      <patternFill patternType="solid">
        <fgColor rgb="FF16263F"/>
        <bgColor rgb="FF1B2A4A"/>
      </patternFill>
    </fill>
    <fill>
      <patternFill patternType="solid">
        <fgColor rgb="FF4F46E5"/>
        <bgColor rgb="FF635BFF"/>
      </patternFill>
    </fill>
    <fill>
      <patternFill patternType="solid">
        <fgColor rgb="FF0BA84B"/>
        <bgColor rgb="FF008000"/>
      </patternFill>
    </fill>
    <fill>
      <patternFill patternType="solid">
        <fgColor rgb="FFFFB323"/>
        <bgColor rgb="FFFF9900"/>
      </patternFill>
    </fill>
    <fill>
      <patternFill patternType="solid">
        <fgColor rgb="FFFF5252"/>
        <bgColor rgb="FFEC4899"/>
      </patternFill>
    </fill>
    <fill>
      <patternFill patternType="solid">
        <fgColor rgb="FF1877F2"/>
        <bgColor rgb="FF2563EB"/>
      </patternFill>
    </fill>
    <fill>
      <patternFill patternType="solid">
        <fgColor rgb="FF92400E"/>
        <bgColor rgb="FFDC2626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E8EAED"/>
      </patternFill>
    </fill>
    <fill>
      <patternFill patternType="solid">
        <fgColor rgb="FFEDE9FE"/>
        <bgColor rgb="FFE8EAED"/>
      </patternFill>
    </fill>
    <fill>
      <patternFill patternType="solid">
        <fgColor rgb="FFFEF3C7"/>
        <bgColor rgb="FFFDEDEC"/>
      </patternFill>
    </fill>
    <fill>
      <patternFill patternType="solid">
        <fgColor rgb="FFFEE2E2"/>
        <bgColor rgb="FFFDEDEC"/>
      </patternFill>
    </fill>
    <fill>
      <patternFill patternType="solid">
        <fgColor rgb="FFDCFCE7"/>
        <bgColor rgb="FFEEF2FF"/>
      </patternFill>
    </fill>
    <fill>
      <patternFill patternType="solid">
        <fgColor rgb="FFF3F4F6"/>
        <bgColor rgb="FFEEF2FF"/>
      </patternFill>
    </fill>
    <fill>
      <patternFill patternType="solid">
        <fgColor rgb="FFFDE68A"/>
        <bgColor rgb="FFFEF3C7"/>
      </patternFill>
    </fill>
    <fill>
      <patternFill patternType="solid">
        <fgColor rgb="FFEEF2FF"/>
        <bgColor rgb="FFF3F4F6"/>
      </patternFill>
    </fill>
    <fill>
      <patternFill patternType="solid">
        <fgColor rgb="FFE0E7FF"/>
        <bgColor rgb="FFE2E8F0"/>
      </patternFill>
    </fill>
    <fill>
      <patternFill patternType="solid">
        <fgColor rgb="FF00D924"/>
        <bgColor rgb="FF0BA84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35BFF"/>
      </bottom>
      <diagonal/>
    </border>
    <border diagonalUp="false" diagonalDown="false">
      <left/>
      <right/>
      <top style="medium">
        <color rgb="FF635B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8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2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4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5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5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5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4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3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BA84B"/>
      </font>
      <fill>
        <patternFill>
          <bgColor rgb="FFDCFCE7"/>
        </patternFill>
      </fill>
    </dxf>
    <dxf>
      <font>
        <b val="1"/>
        <color rgb="FFFF5252"/>
      </font>
      <fill>
        <patternFill>
          <bgColor rgb="FFFEE2E2"/>
        </patternFill>
      </fill>
    </dxf>
    <dxf>
      <font>
        <b val="1"/>
        <color rgb="FFFFB323"/>
      </font>
      <fill>
        <patternFill>
          <bgColor rgb="FFFEF3C7"/>
        </patternFill>
      </fill>
    </dxf>
    <dxf>
      <font>
        <b val="1"/>
        <color rgb="FFFF5252"/>
      </font>
      <fill>
        <patternFill>
          <bgColor rgb="FFFDEDEC"/>
        </patternFill>
      </fill>
    </dxf>
    <dxf>
      <font>
        <b val="1"/>
        <color rgb="FF00D924"/>
        <sz val="12"/>
      </font>
    </dxf>
    <dxf>
      <font>
        <b val="1"/>
        <color rgb="FFFF5252"/>
        <sz val="12"/>
      </font>
    </dxf>
  </dxfs>
  <colors>
    <indexedColors>
      <rgbColor rgb="FF000000"/>
      <rgbColor rgb="FFFFFFFF"/>
      <rgbColor rgb="FFDC2626"/>
      <rgbColor rgb="FF00D924"/>
      <rgbColor rgb="FF0000FF"/>
      <rgbColor rgb="FFF3F4F6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E0E7FF"/>
      <rgbColor rgb="FF878787"/>
      <rgbColor rgb="FF9CA3AF"/>
      <rgbColor rgb="FF7C3AED"/>
      <rgbColor rgb="FFFEF3C7"/>
      <rgbColor rgb="FFDCFCE7"/>
      <rgbColor rgb="FF660066"/>
      <rgbColor rgb="FFFF5252"/>
      <rgbColor rgb="FF1877F2"/>
      <rgbColor rgb="FFD9D9D9"/>
      <rgbColor rgb="FF000080"/>
      <rgbColor rgb="FFFF00FF"/>
      <rgbColor rgb="FFF8FAFC"/>
      <rgbColor rgb="FF00FFFF"/>
      <rgbColor rgb="FF800080"/>
      <rgbColor rgb="FF800000"/>
      <rgbColor rgb="FF635BFF"/>
      <rgbColor rgb="FF0000FF"/>
      <rgbColor rgb="FF13C4E1"/>
      <rgbColor rgb="FFEEF2FF"/>
      <rgbColor rgb="FFE2E8F0"/>
      <rgbColor rgb="FFFDE68A"/>
      <rgbColor rgb="FFE8EAED"/>
      <rgbColor rgb="FFFDEDEC"/>
      <rgbColor rgb="FFEDE9FE"/>
      <rgbColor rgb="FFFEE2E2"/>
      <rgbColor rgb="FF2563EB"/>
      <rgbColor rgb="FF33CCCC"/>
      <rgbColor rgb="FF99CC00"/>
      <rgbColor rgb="FFFFB323"/>
      <rgbColor rgb="FFFF9900"/>
      <rgbColor rgb="FFD97706"/>
      <rgbColor rgb="FF475569"/>
      <rgbColor rgb="FF9AA0A6"/>
      <rgbColor rgb="FF1B2A4A"/>
      <rgbColor rgb="FF0BA84B"/>
      <rgbColor rgb="FF0D1B2A"/>
      <rgbColor rgb="FF16263F"/>
      <rgbColor rgb="FF92400E"/>
      <rgbColor rgb="FFEC4899"/>
      <rgbColor rgb="FF4F46E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· Meta · OpEx · Net Profit Trend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Executive_Summary!C14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35bff"/>
            </a:solidFill>
            <a:ln w="28080">
              <a:solidFill>
                <a:srgbClr val="635b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Executive_Summary!$C$15:$C$26</c:f>
              <c:numCache>
                <c:formatCode>_(\$* #,##0_);_(\$* \(#,##0\);_(\$* \-_);_(@_)</c:formatCode>
                <c:ptCount val="12"/>
                <c:pt idx="0">
                  <c:v>25737.51</c:v>
                </c:pt>
                <c:pt idx="1">
                  <c:v>23034.3</c:v>
                </c:pt>
                <c:pt idx="2">
                  <c:v>26464.44</c:v>
                </c:pt>
                <c:pt idx="3">
                  <c:v>13088.26</c:v>
                </c:pt>
                <c:pt idx="4">
                  <c:v>12589.43</c:v>
                </c:pt>
                <c:pt idx="5">
                  <c:v>33888.23</c:v>
                </c:pt>
                <c:pt idx="6">
                  <c:v>12773.75</c:v>
                </c:pt>
                <c:pt idx="7">
                  <c:v>10331</c:v>
                </c:pt>
                <c:pt idx="8">
                  <c:v>13051.64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Executive_Summary!D14</c:f>
              <c:strCache>
                <c:ptCount val="1"/>
                <c:pt idx="0">
                  <c:v>Meta Cost</c:v>
                </c:pt>
              </c:strCache>
            </c:strRef>
          </c:tx>
          <c:spPr>
            <a:solidFill>
              <a:srgbClr val="1877f2"/>
            </a:solidFill>
            <a:ln w="28080">
              <a:solidFill>
                <a:srgbClr val="1877f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Executive_Summary!$D$15:$D$26</c:f>
              <c:numCache>
                <c:formatCode>_(\$* #,##0_);_(\$* \(#,##0\);_(\$* \-_);_(@_)</c:formatCode>
                <c:ptCount val="12"/>
                <c:pt idx="0">
                  <c:v>19700</c:v>
                </c:pt>
                <c:pt idx="1">
                  <c:v>16300</c:v>
                </c:pt>
                <c:pt idx="2">
                  <c:v>30300</c:v>
                </c:pt>
                <c:pt idx="3">
                  <c:v>9300</c:v>
                </c:pt>
                <c:pt idx="4">
                  <c:v>17300</c:v>
                </c:pt>
                <c:pt idx="5">
                  <c:v>12400</c:v>
                </c:pt>
                <c:pt idx="6">
                  <c:v>14000</c:v>
                </c:pt>
                <c:pt idx="7">
                  <c:v>4500</c:v>
                </c:pt>
                <c:pt idx="8">
                  <c:v>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Executive_Summary!E14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ffb323"/>
            </a:solidFill>
            <a:ln w="28080">
              <a:solidFill>
                <a:srgbClr val="ffb3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Executive_Summary!$E$15:$E$26</c:f>
              <c:numCache>
                <c:formatCode>_(\$* #,##0_);_(\$* \(#,##0\);_(\$* \-_);_(@_)</c:formatCode>
                <c:ptCount val="12"/>
                <c:pt idx="0">
                  <c:v>39635.515</c:v>
                </c:pt>
                <c:pt idx="1">
                  <c:v>40616.45</c:v>
                </c:pt>
                <c:pt idx="2">
                  <c:v>42515.19</c:v>
                </c:pt>
                <c:pt idx="3">
                  <c:v>42458.97</c:v>
                </c:pt>
                <c:pt idx="4">
                  <c:v>18858.3</c:v>
                </c:pt>
                <c:pt idx="5">
                  <c:v>20190.47</c:v>
                </c:pt>
                <c:pt idx="6">
                  <c:v>21003.45</c:v>
                </c:pt>
                <c:pt idx="7">
                  <c:v>332.6</c:v>
                </c:pt>
                <c:pt idx="8">
                  <c:v>297.97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Executive_Summary!F14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28080">
              <a:solidFill>
                <a:srgbClr val="00d9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Executive_Summary!$F$15:$F$26</c:f>
              <c:numCache>
                <c:formatCode>_(\$* #,##0_);_(\$* \(#,##0\);_(\$* \-_);_(@_)</c:formatCode>
                <c:ptCount val="12"/>
                <c:pt idx="0">
                  <c:v>-33598.005</c:v>
                </c:pt>
                <c:pt idx="1">
                  <c:v>-33882.15</c:v>
                </c:pt>
                <c:pt idx="2">
                  <c:v>-46350.75</c:v>
                </c:pt>
                <c:pt idx="3">
                  <c:v>-38670.71</c:v>
                </c:pt>
                <c:pt idx="4">
                  <c:v>-23568.87</c:v>
                </c:pt>
                <c:pt idx="5">
                  <c:v>1297.76</c:v>
                </c:pt>
                <c:pt idx="6">
                  <c:v>-22229.7</c:v>
                </c:pt>
                <c:pt idx="7">
                  <c:v>5498.4</c:v>
                </c:pt>
                <c:pt idx="8">
                  <c:v>2953.67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650080"/>
        <c:axId val="67518490"/>
      </c:lineChart>
      <c:catAx>
        <c:axId val="6865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518490"/>
        <c:crosses val="autoZero"/>
        <c:auto val="1"/>
        <c:lblAlgn val="ctr"/>
        <c:lblOffset val="100"/>
        <c:noMultiLvlLbl val="0"/>
      </c:catAx>
      <c:valAx>
        <c:axId val="67518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650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Net Profit by Month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Executive_Summary!F14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Executive_Summary!$F$15:$F$26</c:f>
              <c:numCache>
                <c:formatCode>_(\$* #,##0_);_(\$* \(#,##0\);_(\$* \-_);_(@_)</c:formatCode>
                <c:ptCount val="12"/>
                <c:pt idx="0">
                  <c:v>-33598.005</c:v>
                </c:pt>
                <c:pt idx="1">
                  <c:v>-33882.15</c:v>
                </c:pt>
                <c:pt idx="2">
                  <c:v>-46350.75</c:v>
                </c:pt>
                <c:pt idx="3">
                  <c:v>-38670.71</c:v>
                </c:pt>
                <c:pt idx="4">
                  <c:v>-23568.87</c:v>
                </c:pt>
                <c:pt idx="5">
                  <c:v>1297.76</c:v>
                </c:pt>
                <c:pt idx="6">
                  <c:v>-22229.7</c:v>
                </c:pt>
                <c:pt idx="7">
                  <c:v>5498.4</c:v>
                </c:pt>
                <c:pt idx="8">
                  <c:v>2953.67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</c:ser>
        <c:gapWidth val="80"/>
        <c:overlap val="0"/>
        <c:axId val="72727518"/>
        <c:axId val="75167049"/>
      </c:barChart>
      <c:catAx>
        <c:axId val="72727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167049"/>
        <c:crosses val="autoZero"/>
        <c:auto val="1"/>
        <c:lblAlgn val="ctr"/>
        <c:lblOffset val="100"/>
        <c:noMultiLvlLbl val="0"/>
      </c:catAx>
      <c:valAx>
        <c:axId val="75167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727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by Category — Monthly FY2025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Revenue_Dashboard!B7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rgbClr val="635bff"/>
            </a:solidFill>
            <a:ln w="0">
              <a:solidFill>
                <a:srgbClr val="635b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635b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Revenue_Dashboard!$C$7:$N$7</c:f>
              <c:numCache>
                <c:formatCode>_(\$* #,##0_);_(\$* \(#,##0\);_(\$* \-_);_(@_)</c:formatCode>
                <c:ptCount val="12"/>
                <c:pt idx="0">
                  <c:v>4202.01</c:v>
                </c:pt>
                <c:pt idx="1">
                  <c:v>3825.85</c:v>
                </c:pt>
                <c:pt idx="2">
                  <c:v>4625.64</c:v>
                </c:pt>
                <c:pt idx="3">
                  <c:v>1279.81</c:v>
                </c:pt>
                <c:pt idx="4">
                  <c:v>1334.27</c:v>
                </c:pt>
                <c:pt idx="5">
                  <c:v>7061.03</c:v>
                </c:pt>
                <c:pt idx="6">
                  <c:v>1415.96</c:v>
                </c:pt>
                <c:pt idx="7">
                  <c:v>2831</c:v>
                </c:pt>
                <c:pt idx="8">
                  <c:v>1851.64</c:v>
                </c:pt>
                <c:pt idx="9">
                  <c:v>0</c:v>
                </c:pt>
                <c:pt idx="10">
                  <c:v>3135.3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Revenue_Dashboard!B8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00d924"/>
            </a:solidFill>
            <a:ln w="0">
              <a:solidFill>
                <a:srgbClr val="00d92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00d92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Revenue_Dashboard!$C$8:$N$8</c:f>
              <c:numCache>
                <c:formatCode>_(\$* #,##0_);_(\$* \(#,##0\);_(\$* \-_);_(@_)</c:formatCode>
                <c:ptCount val="12"/>
                <c:pt idx="0">
                  <c:v>13782.45</c:v>
                </c:pt>
                <c:pt idx="1">
                  <c:v>408.45</c:v>
                </c:pt>
                <c:pt idx="2">
                  <c:v>408.45</c:v>
                </c:pt>
                <c:pt idx="3">
                  <c:v>2608.45</c:v>
                </c:pt>
                <c:pt idx="4">
                  <c:v>1339.2</c:v>
                </c:pt>
                <c:pt idx="5">
                  <c:v>24000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24000</c:v>
                </c:pt>
                <c:pt idx="10">
                  <c:v>1343.7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Revenue_Dashboard!B9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rgbClr val="ffb323"/>
            </a:solidFill>
            <a:ln w="0">
              <a:solidFill>
                <a:srgbClr val="ffb32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fb323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Revenue_Dashboard!$C$9:$N$9</c:f>
              <c:numCache>
                <c:formatCode>_(\$* #,##0_);_(\$* \(#,##0\);_(\$* \-_);_(@_)</c:formatCode>
                <c:ptCount val="12"/>
                <c:pt idx="0">
                  <c:v>6800</c:v>
                </c:pt>
                <c:pt idx="1">
                  <c:v>12000</c:v>
                </c:pt>
                <c:pt idx="2">
                  <c:v>18086.85</c:v>
                </c:pt>
                <c:pt idx="3">
                  <c:v>0</c:v>
                </c:pt>
                <c:pt idx="4">
                  <c:v>8500</c:v>
                </c:pt>
                <c:pt idx="5">
                  <c:v>0</c:v>
                </c:pt>
                <c:pt idx="6">
                  <c:v>10050.75</c:v>
                </c:pt>
                <c:pt idx="7">
                  <c:v>0</c:v>
                </c:pt>
                <c:pt idx="8">
                  <c:v>11200</c:v>
                </c:pt>
                <c:pt idx="9">
                  <c:v>2314.55</c:v>
                </c:pt>
                <c:pt idx="10">
                  <c:v>0</c:v>
                </c:pt>
                <c:pt idx="11">
                  <c:v>9500</c:v>
                </c:pt>
              </c:numCache>
            </c:numRef>
          </c:val>
        </c:ser>
        <c:ser>
          <c:idx val="3"/>
          <c:order val="3"/>
          <c:tx>
            <c:strRef>
              <c:f>Revenue_Dashboard!B10</c:f>
              <c:strCache>
                <c:ptCount val="1"/>
                <c:pt idx="0">
                  <c:v>Other Services</c:v>
                </c:pt>
              </c:strCache>
            </c:strRef>
          </c:tx>
          <c:spPr>
            <a:solidFill>
              <a:srgbClr val="ec4899"/>
            </a:solidFill>
            <a:ln w="0">
              <a:solidFill>
                <a:srgbClr val="ec489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ec489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Revenue_Dashboard!$C$10:$N$10</c:f>
              <c:numCache>
                <c:formatCode>_(\$* #,##0_);_(\$* \(#,##0\);_(\$* \-_);_(@_)</c:formatCode>
                <c:ptCount val="12"/>
                <c:pt idx="0">
                  <c:v>953.05</c:v>
                </c:pt>
                <c:pt idx="1">
                  <c:v>6800</c:v>
                </c:pt>
                <c:pt idx="2">
                  <c:v>3343.5</c:v>
                </c:pt>
                <c:pt idx="3">
                  <c:v>9200</c:v>
                </c:pt>
                <c:pt idx="4">
                  <c:v>1415.96</c:v>
                </c:pt>
                <c:pt idx="5">
                  <c:v>2827.2</c:v>
                </c:pt>
                <c:pt idx="6">
                  <c:v>1307.04</c:v>
                </c:pt>
                <c:pt idx="7">
                  <c:v>7500</c:v>
                </c:pt>
                <c:pt idx="8">
                  <c:v>0</c:v>
                </c:pt>
                <c:pt idx="9">
                  <c:v>0</c:v>
                </c:pt>
                <c:pt idx="10">
                  <c:v>6500</c:v>
                </c:pt>
                <c:pt idx="11">
                  <c:v>1143.66</c:v>
                </c:pt>
              </c:numCache>
            </c:numRef>
          </c:val>
        </c:ser>
        <c:gapWidth val="80"/>
        <c:overlap val="-20"/>
        <c:axId val="80187498"/>
        <c:axId val="63949061"/>
      </c:barChart>
      <c:catAx>
        <c:axId val="80187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949061"/>
        <c:crosses val="autoZero"/>
        <c:auto val="1"/>
        <c:lblAlgn val="ctr"/>
        <c:lblOffset val="100"/>
        <c:noMultiLvlLbl val="0"/>
      </c:catAx>
      <c:valAx>
        <c:axId val="63949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187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2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Mix — YTD 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635bf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d92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b32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c48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Revenue_Dashboard!$B$7:$B$10</c:f>
              <c:strCache>
                <c:ptCount val="4"/>
                <c:pt idx="0">
                  <c:v>WhatsApp</c:v>
                </c:pt>
                <c:pt idx="1">
                  <c:v>Subscription</c:v>
                </c:pt>
                <c:pt idx="2">
                  <c:v>Development</c:v>
                </c:pt>
                <c:pt idx="3">
                  <c:v>Other Services</c:v>
                </c:pt>
              </c:strCache>
            </c:strRef>
          </c:cat>
          <c:val>
            <c:numRef>
              <c:f>Revenue_Dashboard!$O$7:$O$10</c:f>
              <c:numCache>
                <c:formatCode>_(\$* #,##0_);_(\$* \(#,##0\);_(\$* \-_);_(@_)</c:formatCode>
                <c:ptCount val="4"/>
                <c:pt idx="0">
                  <c:v>31562.51</c:v>
                </c:pt>
                <c:pt idx="1">
                  <c:v>67890.7</c:v>
                </c:pt>
                <c:pt idx="2">
                  <c:v>78452.15</c:v>
                </c:pt>
                <c:pt idx="3">
                  <c:v>40990.41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Meta Cost: Net Paid vs Discount vs Add-Back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Meta_Expenses!C25</c:f>
              <c:strCache>
                <c:ptCount val="1"/>
                <c:pt idx="0">
                  <c:v>Net Paid USD</c:v>
                </c:pt>
              </c:strCache>
            </c:strRef>
          </c:tx>
          <c:spPr>
            <a:solidFill>
              <a:srgbClr val="635b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Meta_Expenses!$C$26:$C$37</c:f>
              <c:numCache>
                <c:formatCode>_(\$* #,##0.00_);_(\$* \(#,##0.00\);_(\$* \-??_);_(@_)</c:formatCode>
                <c:ptCount val="12"/>
                <c:pt idx="0">
                  <c:v>18100</c:v>
                </c:pt>
                <c:pt idx="1">
                  <c:v>14950</c:v>
                </c:pt>
                <c:pt idx="2">
                  <c:v>27650</c:v>
                </c:pt>
                <c:pt idx="3">
                  <c:v>8450</c:v>
                </c:pt>
                <c:pt idx="4">
                  <c:v>15750</c:v>
                </c:pt>
                <c:pt idx="5">
                  <c:v>11250</c:v>
                </c:pt>
                <c:pt idx="6">
                  <c:v>12700</c:v>
                </c:pt>
                <c:pt idx="7">
                  <c:v>4100</c:v>
                </c:pt>
                <c:pt idx="8">
                  <c:v>9000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Meta_Expenses!D25</c:f>
              <c:strCache>
                <c:ptCount val="1"/>
                <c:pt idx="0">
                  <c:v>Discount USD</c:v>
                </c:pt>
              </c:strCache>
            </c:strRef>
          </c:tx>
          <c:spPr>
            <a:solidFill>
              <a:srgbClr val="ffb3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Meta_Expenses!$D$26:$D$37</c:f>
              <c:numCache>
                <c:formatCode>_(\$* #,##0.00_);_(\$* \(#,##0.00\);_(\$* \-??_);_(@_)</c:formatCode>
                <c:ptCount val="12"/>
                <c:pt idx="0">
                  <c:v>1600</c:v>
                </c:pt>
                <c:pt idx="1">
                  <c:v>1350</c:v>
                </c:pt>
                <c:pt idx="2">
                  <c:v>2650</c:v>
                </c:pt>
                <c:pt idx="3">
                  <c:v>850</c:v>
                </c:pt>
                <c:pt idx="4">
                  <c:v>1550</c:v>
                </c:pt>
                <c:pt idx="5">
                  <c:v>1150</c:v>
                </c:pt>
                <c:pt idx="6">
                  <c:v>1300</c:v>
                </c:pt>
                <c:pt idx="7">
                  <c:v>400</c:v>
                </c:pt>
                <c:pt idx="8">
                  <c:v>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Meta_Expenses!E25</c:f>
              <c:strCache>
                <c:ptCount val="1"/>
                <c:pt idx="0">
                  <c:v>AddBack USD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Meta_Expenses!$E$26:$E$37</c:f>
              <c:numCache>
                <c:formatCode>_(\$* #,##0.00_);_(\$* \(#,##0.00\);_(\$* \-??_);_(@_)</c:formatCode>
                <c:ptCount val="12"/>
                <c:pt idx="0">
                  <c:v>19700</c:v>
                </c:pt>
                <c:pt idx="1">
                  <c:v>16300</c:v>
                </c:pt>
                <c:pt idx="2">
                  <c:v>30300</c:v>
                </c:pt>
                <c:pt idx="3">
                  <c:v>9300</c:v>
                </c:pt>
                <c:pt idx="4">
                  <c:v>17300</c:v>
                </c:pt>
                <c:pt idx="5">
                  <c:v>12400</c:v>
                </c:pt>
                <c:pt idx="6">
                  <c:v>14000</c:v>
                </c:pt>
                <c:pt idx="7">
                  <c:v>4500</c:v>
                </c:pt>
                <c:pt idx="8">
                  <c:v>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0"/>
        <c:axId val="31955512"/>
        <c:axId val="63826933"/>
      </c:barChart>
      <c:catAx>
        <c:axId val="3195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26933"/>
        <c:crosses val="autoZero"/>
        <c:auto val="1"/>
        <c:lblAlgn val="ctr"/>
        <c:lblOffset val="100"/>
        <c:noMultiLvlLbl val="0"/>
      </c:catAx>
      <c:valAx>
        <c:axId val="63826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.00_);_(\$* \(#,##0.00\);_(\$* \-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955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P&amp;L Trend — Monthly FY2025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PnL_Statement!$B$11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635b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PnL_Statement!$C$11:$N$11</c:f>
              <c:numCache>
                <c:formatCode>_(\$* #,##0_);_(\$* \(#,##0\);_(\$* \-_);_(@_)</c:formatCode>
                <c:ptCount val="12"/>
                <c:pt idx="0">
                  <c:v>25737.51</c:v>
                </c:pt>
                <c:pt idx="1">
                  <c:v>23034.3</c:v>
                </c:pt>
                <c:pt idx="2">
                  <c:v>26464.44</c:v>
                </c:pt>
                <c:pt idx="3">
                  <c:v>13088.26</c:v>
                </c:pt>
                <c:pt idx="4">
                  <c:v>12589.43</c:v>
                </c:pt>
                <c:pt idx="5">
                  <c:v>33888.23</c:v>
                </c:pt>
                <c:pt idx="6">
                  <c:v>12773.75</c:v>
                </c:pt>
                <c:pt idx="7">
                  <c:v>10331</c:v>
                </c:pt>
                <c:pt idx="8">
                  <c:v>13051.64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</c:ser>
        <c:ser>
          <c:idx val="1"/>
          <c:order val="1"/>
          <c:tx>
            <c:strRef>
              <c:f>PnL_Statement!$B$24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rgbClr val="ffb3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PnL_Statement!$C$24:$N$24</c:f>
              <c:numCache>
                <c:formatCode>_(\$* #,##0_);_(\$* \(#,##0\);_(\$* \-_);_(@_)</c:formatCode>
                <c:ptCount val="12"/>
                <c:pt idx="0">
                  <c:v>39635.515</c:v>
                </c:pt>
                <c:pt idx="1">
                  <c:v>40616.45</c:v>
                </c:pt>
                <c:pt idx="2">
                  <c:v>42515.19</c:v>
                </c:pt>
                <c:pt idx="3">
                  <c:v>42458.97</c:v>
                </c:pt>
                <c:pt idx="4">
                  <c:v>18858.3</c:v>
                </c:pt>
                <c:pt idx="5">
                  <c:v>20190.47</c:v>
                </c:pt>
                <c:pt idx="6">
                  <c:v>21003.45</c:v>
                </c:pt>
                <c:pt idx="7">
                  <c:v>332.6</c:v>
                </c:pt>
                <c:pt idx="8">
                  <c:v>297.97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PnL_Statement!$B$26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PnL_Statement!$C$26:$N$26</c:f>
              <c:numCache>
                <c:formatCode>_(\$* #,##0_);_(\$* \(#,##0\);_(\$* \-_);_(@_)</c:formatCode>
                <c:ptCount val="12"/>
                <c:pt idx="0">
                  <c:v>-33598.005</c:v>
                </c:pt>
                <c:pt idx="1">
                  <c:v>-33882.15</c:v>
                </c:pt>
                <c:pt idx="2">
                  <c:v>-46350.75</c:v>
                </c:pt>
                <c:pt idx="3">
                  <c:v>-38670.71</c:v>
                </c:pt>
                <c:pt idx="4">
                  <c:v>-23568.87</c:v>
                </c:pt>
                <c:pt idx="5">
                  <c:v>1297.76</c:v>
                </c:pt>
                <c:pt idx="6">
                  <c:v>-22229.7</c:v>
                </c:pt>
                <c:pt idx="7">
                  <c:v>5498.4</c:v>
                </c:pt>
                <c:pt idx="8">
                  <c:v>2953.67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</c:ser>
        <c:gapWidth val="80"/>
        <c:overlap val="0"/>
        <c:axId val="12295645"/>
        <c:axId val="78128846"/>
      </c:barChart>
      <c:catAx>
        <c:axId val="12295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128846"/>
        <c:crosses val="autoZero"/>
        <c:auto val="1"/>
        <c:lblAlgn val="ctr"/>
        <c:lblOffset val="100"/>
        <c:noMultiLvlLbl val="0"/>
      </c:catAx>
      <c:valAx>
        <c:axId val="78128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295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9</xdr:col>
      <xdr:colOff>745560</xdr:colOff>
      <xdr:row>50</xdr:row>
      <xdr:rowOff>149760</xdr:rowOff>
    </xdr:to>
    <xdr:graphicFrame>
      <xdr:nvGraphicFramePr>
        <xdr:cNvPr id="0" name="Chart 1"/>
        <xdr:cNvGraphicFramePr/>
      </xdr:nvGraphicFramePr>
      <xdr:xfrm>
        <a:off x="141120" y="7810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9</xdr:col>
      <xdr:colOff>745560</xdr:colOff>
      <xdr:row>71</xdr:row>
      <xdr:rowOff>1080</xdr:rowOff>
    </xdr:to>
    <xdr:graphicFrame>
      <xdr:nvGraphicFramePr>
        <xdr:cNvPr id="1" name="Chart 2"/>
        <xdr:cNvGraphicFramePr/>
      </xdr:nvGraphicFramePr>
      <xdr:xfrm>
        <a:off x="141120" y="125157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10</xdr:col>
      <xdr:colOff>760680</xdr:colOff>
      <xdr:row>35</xdr:row>
      <xdr:rowOff>149760</xdr:rowOff>
    </xdr:to>
    <xdr:graphicFrame>
      <xdr:nvGraphicFramePr>
        <xdr:cNvPr id="2" name="Chart 1"/>
        <xdr:cNvGraphicFramePr/>
      </xdr:nvGraphicFramePr>
      <xdr:xfrm>
        <a:off x="141120" y="39718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15</xdr:row>
      <xdr:rowOff>0</xdr:rowOff>
    </xdr:from>
    <xdr:to>
      <xdr:col>14</xdr:col>
      <xdr:colOff>702360</xdr:colOff>
      <xdr:row>30</xdr:row>
      <xdr:rowOff>21960</xdr:rowOff>
    </xdr:to>
    <xdr:graphicFrame>
      <xdr:nvGraphicFramePr>
        <xdr:cNvPr id="3" name="Chart 2"/>
        <xdr:cNvGraphicFramePr/>
      </xdr:nvGraphicFramePr>
      <xdr:xfrm>
        <a:off x="9586080" y="3971880"/>
        <a:ext cx="32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9</xdr:col>
      <xdr:colOff>40680</xdr:colOff>
      <xdr:row>59</xdr:row>
      <xdr:rowOff>170640</xdr:rowOff>
    </xdr:to>
    <xdr:graphicFrame>
      <xdr:nvGraphicFramePr>
        <xdr:cNvPr id="4" name="Chart 1"/>
        <xdr:cNvGraphicFramePr/>
      </xdr:nvGraphicFramePr>
      <xdr:xfrm>
        <a:off x="141120" y="10420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10</xdr:col>
      <xdr:colOff>55800</xdr:colOff>
      <xdr:row>50</xdr:row>
      <xdr:rowOff>149760</xdr:rowOff>
    </xdr:to>
    <xdr:graphicFrame>
      <xdr:nvGraphicFramePr>
        <xdr:cNvPr id="5" name="Chart 1"/>
        <xdr:cNvGraphicFramePr/>
      </xdr:nvGraphicFramePr>
      <xdr:xfrm>
        <a:off x="141120" y="789624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L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2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1"/>
      <c r="I3" s="1"/>
      <c r="J3" s="1"/>
      <c r="K3" s="1"/>
      <c r="L3" s="1"/>
    </row>
    <row r="4" customFormat="false" ht="3.75" hidden="false" customHeight="true" outlineLevel="0" collapsed="false">
      <c r="A4" s="1"/>
      <c r="B4" s="4"/>
      <c r="C4" s="4"/>
      <c r="D4" s="4"/>
      <c r="E4" s="4"/>
      <c r="F4" s="4"/>
      <c r="G4" s="4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5.5" hidden="false" customHeight="true" outlineLevel="0" collapsed="false">
      <c r="A6" s="1"/>
      <c r="B6" s="5" t="s">
        <v>2</v>
      </c>
      <c r="C6" s="5"/>
      <c r="D6" s="5"/>
      <c r="E6" s="5"/>
      <c r="F6" s="5"/>
      <c r="G6" s="5"/>
      <c r="H6" s="1"/>
      <c r="I6" s="1"/>
      <c r="J6" s="1"/>
      <c r="K6" s="1"/>
      <c r="L6" s="1"/>
    </row>
    <row r="7" customFormat="false" ht="18" hidden="false" customHeight="true" outlineLevel="0" collapsed="false">
      <c r="A7" s="1"/>
      <c r="B7" s="6" t="s">
        <v>3</v>
      </c>
      <c r="C7" s="6"/>
      <c r="D7" s="6"/>
      <c r="E7" s="6"/>
      <c r="F7" s="6"/>
      <c r="G7" s="6"/>
      <c r="H7" s="1"/>
      <c r="I7" s="1"/>
      <c r="J7" s="1"/>
      <c r="K7" s="1"/>
      <c r="L7" s="1"/>
    </row>
    <row r="8" customFormat="false" ht="18" hidden="false" customHeight="true" outlineLevel="0" collapsed="false">
      <c r="A8" s="1"/>
      <c r="B8" s="6"/>
      <c r="C8" s="6"/>
      <c r="D8" s="6"/>
      <c r="E8" s="6"/>
      <c r="F8" s="6"/>
      <c r="G8" s="6"/>
      <c r="H8" s="1"/>
      <c r="I8" s="1"/>
      <c r="J8" s="1"/>
      <c r="K8" s="1"/>
      <c r="L8" s="1"/>
    </row>
    <row r="9" customFormat="false" ht="18" hidden="false" customHeight="true" outlineLevel="0" collapsed="false">
      <c r="A9" s="1"/>
      <c r="B9" s="6"/>
      <c r="C9" s="6"/>
      <c r="D9" s="6"/>
      <c r="E9" s="6"/>
      <c r="F9" s="6"/>
      <c r="G9" s="6"/>
      <c r="H9" s="1"/>
      <c r="I9" s="1"/>
      <c r="J9" s="1"/>
      <c r="K9" s="1"/>
      <c r="L9" s="1"/>
    </row>
    <row r="10" customFormat="false" ht="18" hidden="false" customHeight="true" outlineLevel="0" collapsed="false">
      <c r="A10" s="1"/>
      <c r="B10" s="6"/>
      <c r="C10" s="6"/>
      <c r="D10" s="6"/>
      <c r="E10" s="6"/>
      <c r="F10" s="6"/>
      <c r="G10" s="6"/>
      <c r="H10" s="1"/>
      <c r="I10" s="1"/>
      <c r="J10" s="1"/>
      <c r="K10" s="1"/>
      <c r="L10" s="1"/>
    </row>
    <row r="11" customFormat="false" ht="18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25.5" hidden="false" customHeight="true" outlineLevel="0" collapsed="false">
      <c r="A13" s="1"/>
      <c r="B13" s="5" t="s">
        <v>4</v>
      </c>
      <c r="C13" s="5"/>
      <c r="D13" s="5"/>
      <c r="E13" s="5"/>
      <c r="F13" s="5"/>
      <c r="G13" s="5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21.75" hidden="false" customHeight="true" outlineLevel="0" collapsed="false">
      <c r="A15" s="1"/>
      <c r="B15" s="7" t="s">
        <v>5</v>
      </c>
      <c r="C15" s="8" t="s">
        <v>6</v>
      </c>
      <c r="D15" s="9" t="s">
        <v>7</v>
      </c>
      <c r="E15" s="9"/>
      <c r="F15" s="9"/>
      <c r="G15" s="9"/>
      <c r="H15" s="1"/>
      <c r="I15" s="1"/>
      <c r="J15" s="1"/>
      <c r="K15" s="1"/>
      <c r="L15" s="1"/>
    </row>
    <row r="16" customFormat="false" ht="6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7" t="s">
        <v>8</v>
      </c>
      <c r="C17" s="8" t="s">
        <v>9</v>
      </c>
      <c r="D17" s="9" t="s">
        <v>10</v>
      </c>
      <c r="E17" s="9"/>
      <c r="F17" s="9"/>
      <c r="G17" s="9"/>
      <c r="H17" s="1"/>
      <c r="I17" s="1"/>
      <c r="J17" s="1"/>
      <c r="K17" s="1"/>
      <c r="L17" s="1"/>
    </row>
    <row r="18" customFormat="false" ht="6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7" t="s">
        <v>11</v>
      </c>
      <c r="C19" s="8" t="s">
        <v>12</v>
      </c>
      <c r="D19" s="9" t="s">
        <v>13</v>
      </c>
      <c r="E19" s="9"/>
      <c r="F19" s="9"/>
      <c r="G19" s="9"/>
      <c r="H19" s="1"/>
      <c r="I19" s="1"/>
      <c r="J19" s="1"/>
      <c r="K19" s="1"/>
      <c r="L19" s="1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21.75" hidden="false" customHeight="true" outlineLevel="0" collapsed="false">
      <c r="A21" s="1"/>
      <c r="B21" s="7" t="s">
        <v>14</v>
      </c>
      <c r="C21" s="8" t="s">
        <v>15</v>
      </c>
      <c r="D21" s="9" t="s">
        <v>16</v>
      </c>
      <c r="E21" s="9"/>
      <c r="F21" s="9"/>
      <c r="G21" s="9"/>
      <c r="H21" s="1"/>
      <c r="I21" s="1"/>
      <c r="J21" s="1"/>
      <c r="K21" s="1"/>
      <c r="L21" s="1"/>
    </row>
    <row r="22" customFormat="false" ht="6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7" t="s">
        <v>17</v>
      </c>
      <c r="C23" s="8" t="s">
        <v>18</v>
      </c>
      <c r="D23" s="9" t="s">
        <v>19</v>
      </c>
      <c r="E23" s="9"/>
      <c r="F23" s="9"/>
      <c r="G23" s="9"/>
      <c r="H23" s="1"/>
      <c r="I23" s="1"/>
      <c r="J23" s="1"/>
      <c r="K23" s="1"/>
      <c r="L23" s="1"/>
    </row>
    <row r="24" customFormat="false" ht="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7" t="s">
        <v>20</v>
      </c>
      <c r="C25" s="8" t="s">
        <v>21</v>
      </c>
      <c r="D25" s="9" t="s">
        <v>22</v>
      </c>
      <c r="E25" s="9"/>
      <c r="F25" s="9"/>
      <c r="G25" s="9"/>
      <c r="H25" s="1"/>
      <c r="I25" s="1"/>
      <c r="J25" s="1"/>
      <c r="K25" s="1"/>
      <c r="L25" s="1"/>
    </row>
    <row r="26" customFormat="false" ht="6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25.5" hidden="false" customHeight="true" outlineLevel="0" collapsed="false">
      <c r="A28" s="1"/>
      <c r="B28" s="10" t="s">
        <v>23</v>
      </c>
      <c r="C28" s="10"/>
      <c r="D28" s="10"/>
      <c r="E28" s="10"/>
      <c r="F28" s="10"/>
      <c r="G28" s="10"/>
      <c r="H28" s="1"/>
      <c r="I28" s="1"/>
      <c r="J28" s="1"/>
      <c r="K28" s="1"/>
      <c r="L28" s="1"/>
    </row>
    <row r="29" customFormat="false" ht="18" hidden="false" customHeight="true" outlineLevel="0" collapsed="false">
      <c r="A29" s="1"/>
      <c r="B29" s="11" t="s">
        <v>24</v>
      </c>
      <c r="C29" s="11"/>
      <c r="D29" s="11"/>
      <c r="E29" s="11"/>
      <c r="F29" s="11"/>
      <c r="G29" s="11"/>
      <c r="H29" s="1"/>
      <c r="I29" s="1"/>
      <c r="J29" s="1"/>
      <c r="K29" s="1"/>
      <c r="L29" s="1"/>
    </row>
    <row r="30" customFormat="false" ht="18" hidden="false" customHeight="true" outlineLevel="0" collapsed="false">
      <c r="A30" s="1"/>
      <c r="B30" s="11"/>
      <c r="C30" s="11"/>
      <c r="D30" s="11"/>
      <c r="E30" s="11"/>
      <c r="F30" s="11"/>
      <c r="G30" s="11"/>
      <c r="H30" s="1"/>
      <c r="I30" s="1"/>
      <c r="J30" s="1"/>
      <c r="K30" s="1"/>
      <c r="L30" s="1"/>
    </row>
    <row r="31" customFormat="false" ht="18" hidden="false" customHeight="true" outlineLevel="0" collapsed="false">
      <c r="A31" s="1"/>
      <c r="B31" s="11"/>
      <c r="C31" s="11"/>
      <c r="D31" s="11"/>
      <c r="E31" s="11"/>
      <c r="F31" s="11"/>
      <c r="G31" s="11"/>
      <c r="H31" s="1"/>
      <c r="I31" s="1"/>
      <c r="J31" s="1"/>
      <c r="K31" s="1"/>
      <c r="L31" s="1"/>
    </row>
    <row r="32" customFormat="false" ht="18" hidden="false" customHeight="true" outlineLevel="0" collapsed="false">
      <c r="A32" s="1"/>
      <c r="B32" s="11"/>
      <c r="C32" s="11"/>
      <c r="D32" s="11"/>
      <c r="E32" s="11"/>
      <c r="F32" s="11"/>
      <c r="G32" s="11"/>
      <c r="H32" s="1"/>
      <c r="I32" s="1"/>
      <c r="J32" s="1"/>
      <c r="K32" s="1"/>
      <c r="L32" s="1"/>
    </row>
    <row r="33" customFormat="false" ht="18" hidden="false" customHeight="true" outlineLevel="0" collapsed="false">
      <c r="A33" s="1"/>
      <c r="B33" s="11"/>
      <c r="C33" s="11"/>
      <c r="D33" s="11"/>
      <c r="E33" s="11"/>
      <c r="F33" s="11"/>
      <c r="G33" s="1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25.5" hidden="false" customHeight="true" outlineLevel="0" collapsed="false">
      <c r="A35" s="1"/>
      <c r="B35" s="12" t="s">
        <v>25</v>
      </c>
      <c r="C35" s="12"/>
      <c r="D35" s="12"/>
      <c r="E35" s="12"/>
      <c r="F35" s="12"/>
      <c r="G35" s="12"/>
      <c r="H35" s="1"/>
      <c r="I35" s="1"/>
      <c r="J35" s="1"/>
      <c r="K35" s="1"/>
      <c r="L35" s="1"/>
    </row>
    <row r="36" customFormat="false" ht="18" hidden="false" customHeight="true" outlineLevel="0" collapsed="false">
      <c r="A36" s="1"/>
      <c r="B36" s="11" t="s">
        <v>26</v>
      </c>
      <c r="C36" s="11"/>
      <c r="D36" s="11"/>
      <c r="E36" s="11"/>
      <c r="F36" s="11"/>
      <c r="G36" s="11"/>
      <c r="H36" s="1"/>
      <c r="I36" s="1"/>
      <c r="J36" s="1"/>
      <c r="K36" s="1"/>
      <c r="L36" s="1"/>
    </row>
    <row r="37" customFormat="false" ht="18" hidden="false" customHeight="true" outlineLevel="0" collapsed="false">
      <c r="A37" s="1"/>
      <c r="B37" s="11"/>
      <c r="C37" s="11"/>
      <c r="D37" s="11"/>
      <c r="E37" s="11"/>
      <c r="F37" s="11"/>
      <c r="G37" s="11"/>
      <c r="H37" s="1"/>
      <c r="I37" s="1"/>
      <c r="J37" s="1"/>
      <c r="K37" s="1"/>
      <c r="L37" s="1"/>
    </row>
    <row r="38" customFormat="false" ht="18" hidden="false" customHeight="true" outlineLevel="0" collapsed="false">
      <c r="A38" s="1"/>
      <c r="B38" s="11"/>
      <c r="C38" s="11"/>
      <c r="D38" s="11"/>
      <c r="E38" s="11"/>
      <c r="F38" s="11"/>
      <c r="G38" s="11"/>
      <c r="H38" s="1"/>
      <c r="I38" s="1"/>
      <c r="J38" s="1"/>
      <c r="K38" s="1"/>
      <c r="L38" s="1"/>
    </row>
    <row r="39" customFormat="false" ht="18" hidden="false" customHeight="true" outlineLevel="0" collapsed="false">
      <c r="A39" s="1"/>
      <c r="B39" s="11"/>
      <c r="C39" s="11"/>
      <c r="D39" s="11"/>
      <c r="E39" s="11"/>
      <c r="F39" s="11"/>
      <c r="G39" s="11"/>
      <c r="H39" s="1"/>
      <c r="I39" s="1"/>
      <c r="J39" s="1"/>
      <c r="K39" s="1"/>
      <c r="L39" s="1"/>
    </row>
    <row r="40" customFormat="false" ht="18" hidden="false" customHeight="true" outlineLevel="0" collapsed="false">
      <c r="A40" s="1"/>
      <c r="B40" s="11"/>
      <c r="C40" s="11"/>
      <c r="D40" s="11"/>
      <c r="E40" s="11"/>
      <c r="F40" s="11"/>
      <c r="G40" s="1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25.5" hidden="false" customHeight="true" outlineLevel="0" collapsed="false">
      <c r="A42" s="1"/>
      <c r="B42" s="5" t="s">
        <v>27</v>
      </c>
      <c r="C42" s="5"/>
      <c r="D42" s="5"/>
      <c r="E42" s="5"/>
      <c r="F42" s="5"/>
      <c r="G42" s="5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8" hidden="false" customHeight="true" outlineLevel="0" collapsed="false">
      <c r="A44" s="1"/>
      <c r="B44" s="13" t="s">
        <v>9</v>
      </c>
      <c r="C44" s="9" t="s">
        <v>28</v>
      </c>
      <c r="D44" s="9"/>
      <c r="E44" s="9"/>
      <c r="F44" s="9"/>
      <c r="G44" s="9"/>
      <c r="H44" s="1"/>
      <c r="I44" s="1"/>
      <c r="J44" s="1"/>
      <c r="K44" s="1"/>
      <c r="L44" s="1"/>
    </row>
    <row r="45" customFormat="false" ht="18" hidden="false" customHeight="true" outlineLevel="0" collapsed="false">
      <c r="A45" s="1"/>
      <c r="B45" s="13" t="s">
        <v>29</v>
      </c>
      <c r="C45" s="9" t="s">
        <v>30</v>
      </c>
      <c r="D45" s="9"/>
      <c r="E45" s="9"/>
      <c r="F45" s="9"/>
      <c r="G45" s="9"/>
      <c r="H45" s="1"/>
      <c r="I45" s="1"/>
      <c r="J45" s="1"/>
      <c r="K45" s="1"/>
      <c r="L45" s="1"/>
    </row>
    <row r="46" customFormat="false" ht="18" hidden="false" customHeight="true" outlineLevel="0" collapsed="false">
      <c r="A46" s="1"/>
      <c r="B46" s="13" t="s">
        <v>31</v>
      </c>
      <c r="C46" s="9" t="s">
        <v>32</v>
      </c>
      <c r="D46" s="9"/>
      <c r="E46" s="9"/>
      <c r="F46" s="9"/>
      <c r="G46" s="9"/>
      <c r="H46" s="1"/>
      <c r="I46" s="1"/>
      <c r="J46" s="1"/>
      <c r="K46" s="1"/>
      <c r="L46" s="1"/>
    </row>
    <row r="47" customFormat="false" ht="18" hidden="false" customHeight="true" outlineLevel="0" collapsed="false">
      <c r="A47" s="1"/>
      <c r="B47" s="13" t="s">
        <v>33</v>
      </c>
      <c r="C47" s="9" t="s">
        <v>34</v>
      </c>
      <c r="D47" s="9"/>
      <c r="E47" s="9"/>
      <c r="F47" s="9"/>
      <c r="G47" s="9"/>
      <c r="H47" s="1"/>
      <c r="I47" s="1"/>
      <c r="J47" s="1"/>
      <c r="K47" s="1"/>
      <c r="L47" s="1"/>
    </row>
    <row r="48" customFormat="false" ht="18" hidden="false" customHeight="true" outlineLevel="0" collapsed="false">
      <c r="A48" s="1"/>
      <c r="B48" s="13" t="s">
        <v>35</v>
      </c>
      <c r="C48" s="9" t="s">
        <v>36</v>
      </c>
      <c r="D48" s="9"/>
      <c r="E48" s="9"/>
      <c r="F48" s="9"/>
      <c r="G48" s="9"/>
      <c r="H48" s="1"/>
      <c r="I48" s="1"/>
      <c r="J48" s="1"/>
      <c r="K48" s="1"/>
      <c r="L48" s="1"/>
    </row>
    <row r="49" customFormat="false" ht="18" hidden="false" customHeight="true" outlineLevel="0" collapsed="false">
      <c r="A49" s="1"/>
      <c r="B49" s="13" t="s">
        <v>37</v>
      </c>
      <c r="C49" s="9" t="s">
        <v>38</v>
      </c>
      <c r="D49" s="9"/>
      <c r="E49" s="9"/>
      <c r="F49" s="9"/>
      <c r="G49" s="9"/>
      <c r="H49" s="1"/>
      <c r="I49" s="1"/>
      <c r="J49" s="1"/>
      <c r="K49" s="1"/>
      <c r="L49" s="1"/>
    </row>
    <row r="50" customFormat="false" ht="18" hidden="false" customHeight="true" outlineLevel="0" collapsed="false">
      <c r="A50" s="1"/>
      <c r="B50" s="13" t="s">
        <v>39</v>
      </c>
      <c r="C50" s="9" t="s">
        <v>40</v>
      </c>
      <c r="D50" s="9"/>
      <c r="E50" s="9"/>
      <c r="F50" s="9"/>
      <c r="G50" s="9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13" t="s">
        <v>15</v>
      </c>
      <c r="C51" s="9" t="s">
        <v>41</v>
      </c>
      <c r="D51" s="9"/>
      <c r="E51" s="9"/>
      <c r="F51" s="9"/>
      <c r="G51" s="9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13" t="s">
        <v>42</v>
      </c>
      <c r="C52" s="9" t="s">
        <v>43</v>
      </c>
      <c r="D52" s="9"/>
      <c r="E52" s="9"/>
      <c r="F52" s="9"/>
      <c r="G52" s="9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13" t="s">
        <v>44</v>
      </c>
      <c r="C53" s="9" t="s">
        <v>45</v>
      </c>
      <c r="D53" s="9"/>
      <c r="E53" s="9"/>
      <c r="F53" s="9"/>
      <c r="G53" s="9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13" t="s">
        <v>46</v>
      </c>
      <c r="C54" s="9" t="s">
        <v>47</v>
      </c>
      <c r="D54" s="9"/>
      <c r="E54" s="9"/>
      <c r="F54" s="9"/>
      <c r="G54" s="9"/>
      <c r="H54" s="1"/>
      <c r="I54" s="1"/>
      <c r="J54" s="1"/>
      <c r="K54" s="1"/>
      <c r="L54" s="1"/>
    </row>
    <row r="55" customFormat="false" ht="18" hidden="false" customHeight="true" outlineLevel="0" collapsed="false">
      <c r="A55" s="1"/>
      <c r="B55" s="13" t="s">
        <v>18</v>
      </c>
      <c r="C55" s="9" t="s">
        <v>48</v>
      </c>
      <c r="D55" s="9"/>
      <c r="E55" s="9"/>
      <c r="F55" s="9"/>
      <c r="G55" s="9"/>
      <c r="H55" s="1"/>
      <c r="I55" s="1"/>
      <c r="J55" s="1"/>
      <c r="K55" s="1"/>
      <c r="L55" s="1"/>
    </row>
    <row r="56" customFormat="false" ht="18" hidden="false" customHeight="true" outlineLevel="0" collapsed="false">
      <c r="B56" s="13" t="s">
        <v>21</v>
      </c>
      <c r="C56" s="9" t="s">
        <v>49</v>
      </c>
      <c r="D56" s="9"/>
      <c r="E56" s="9"/>
      <c r="F56" s="9"/>
      <c r="G56" s="9"/>
    </row>
  </sheetData>
  <mergeCells count="29">
    <mergeCell ref="B2:G2"/>
    <mergeCell ref="B3:G3"/>
    <mergeCell ref="B6:G6"/>
    <mergeCell ref="B7:G11"/>
    <mergeCell ref="B13:G13"/>
    <mergeCell ref="D15:G15"/>
    <mergeCell ref="D17:G17"/>
    <mergeCell ref="D19:G19"/>
    <mergeCell ref="D21:G21"/>
    <mergeCell ref="D23:G23"/>
    <mergeCell ref="D25:G25"/>
    <mergeCell ref="B28:G28"/>
    <mergeCell ref="B29:G33"/>
    <mergeCell ref="B35:G35"/>
    <mergeCell ref="B36:G40"/>
    <mergeCell ref="B42:G42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R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customFormat="false" ht="18" hidden="false" customHeight="true" outlineLevel="0" collapsed="false">
      <c r="A3" s="1"/>
      <c r="B3" s="3" t="s">
        <v>51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.75" hidden="false" customHeight="true" outlineLevel="0" collapsed="false">
      <c r="A5" s="1"/>
      <c r="B5" s="14" t="s">
        <v>52</v>
      </c>
      <c r="C5" s="14"/>
      <c r="D5" s="14"/>
      <c r="E5" s="15" t="s">
        <v>53</v>
      </c>
      <c r="F5" s="15"/>
      <c r="G5" s="15"/>
      <c r="H5" s="16" t="s">
        <v>54</v>
      </c>
      <c r="I5" s="16"/>
      <c r="J5" s="16"/>
      <c r="K5" s="17" t="s">
        <v>55</v>
      </c>
      <c r="L5" s="17"/>
      <c r="M5" s="17"/>
      <c r="N5" s="1"/>
      <c r="O5" s="1"/>
      <c r="P5" s="1"/>
      <c r="Q5" s="1"/>
      <c r="R5" s="1"/>
    </row>
    <row r="6" customFormat="false" ht="24" hidden="false" customHeight="true" outlineLevel="0" collapsed="false">
      <c r="A6" s="1"/>
      <c r="B6" s="18" t="n">
        <f aca="false">PnL_Statement!O11</f>
        <v>218895.77</v>
      </c>
      <c r="C6" s="18"/>
      <c r="D6" s="18"/>
      <c r="E6" s="18" t="n">
        <f aca="false">PnL_Statement!O15+PnL_Statement!O24</f>
        <v>359508.915</v>
      </c>
      <c r="F6" s="18"/>
      <c r="G6" s="18"/>
      <c r="H6" s="18" t="n">
        <f aca="false">PnL_Statement!O26</f>
        <v>-140613.145</v>
      </c>
      <c r="I6" s="18"/>
      <c r="J6" s="18"/>
      <c r="K6" s="19" t="n">
        <f aca="false">PnL_Statement!P16</f>
        <v>0.389663856912356</v>
      </c>
      <c r="L6" s="19"/>
      <c r="M6" s="19"/>
      <c r="N6" s="1"/>
      <c r="O6" s="1"/>
      <c r="P6" s="1"/>
      <c r="Q6" s="1"/>
      <c r="R6" s="1"/>
    </row>
    <row r="7" customFormat="false" ht="24" hidden="false" customHeight="true" outlineLevel="0" collapsed="false">
      <c r="A7" s="1"/>
      <c r="B7" s="18"/>
      <c r="C7" s="18"/>
      <c r="D7" s="18"/>
      <c r="E7" s="18"/>
      <c r="F7" s="18"/>
      <c r="G7" s="18"/>
      <c r="H7" s="18"/>
      <c r="I7" s="18"/>
      <c r="J7" s="18"/>
      <c r="K7" s="19"/>
      <c r="L7" s="19"/>
      <c r="M7" s="19"/>
      <c r="N7" s="1"/>
      <c r="O7" s="1"/>
      <c r="P7" s="1"/>
      <c r="Q7" s="1"/>
      <c r="R7" s="1"/>
    </row>
    <row r="8" customFormat="false" ht="12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21.75" hidden="false" customHeight="true" outlineLevel="0" collapsed="false">
      <c r="A9" s="1"/>
      <c r="B9" s="17" t="s">
        <v>56</v>
      </c>
      <c r="C9" s="17"/>
      <c r="D9" s="17"/>
      <c r="E9" s="20" t="s">
        <v>57</v>
      </c>
      <c r="F9" s="20"/>
      <c r="G9" s="20"/>
      <c r="H9" s="21" t="s">
        <v>58</v>
      </c>
      <c r="I9" s="21"/>
      <c r="J9" s="21"/>
      <c r="K9" s="22" t="s">
        <v>59</v>
      </c>
      <c r="L9" s="22"/>
      <c r="M9" s="22"/>
      <c r="N9" s="1"/>
      <c r="O9" s="1"/>
      <c r="P9" s="1"/>
      <c r="Q9" s="1"/>
      <c r="R9" s="1"/>
    </row>
    <row r="10" customFormat="false" ht="24" hidden="false" customHeight="true" outlineLevel="0" collapsed="false">
      <c r="A10" s="1"/>
      <c r="B10" s="19" t="n">
        <f aca="false">PnL_Statement!P26</f>
        <v>-0.642374884631165</v>
      </c>
      <c r="C10" s="19"/>
      <c r="D10" s="19"/>
      <c r="E10" s="18" t="n">
        <f aca="false">SUM(Raw_Stripe!L6:L49)</f>
        <v>72647.4</v>
      </c>
      <c r="F10" s="18"/>
      <c r="G10" s="18"/>
      <c r="H10" s="18" t="n">
        <f aca="false">SUM(Raw_Meta!L6:L28)</f>
        <v>133600</v>
      </c>
      <c r="I10" s="18"/>
      <c r="J10" s="18"/>
      <c r="K10" s="18" t="n">
        <f aca="false">SUMPRODUCT(Raw_Meta!H6:H28,Raw_Meta!G6:G28)/SUMIF(Raw_Meta!G6:G28,"&gt;0",Raw_Meta!G6:G28)*SUM(Raw_Meta!H6:H28)</f>
        <v>6355179.64071856</v>
      </c>
      <c r="L10" s="18"/>
      <c r="M10" s="18"/>
      <c r="N10" s="1"/>
      <c r="O10" s="1"/>
      <c r="P10" s="1"/>
      <c r="Q10" s="1"/>
      <c r="R10" s="1"/>
    </row>
    <row r="11" customFormat="false" ht="24" hidden="false" customHeight="true" outlineLevel="0" collapsed="false">
      <c r="A11" s="1"/>
      <c r="B11" s="19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"/>
      <c r="O11" s="1"/>
      <c r="P11" s="1"/>
      <c r="Q11" s="1"/>
      <c r="R11" s="1"/>
    </row>
    <row r="12" customFormat="false" ht="12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25.5" hidden="false" customHeight="true" outlineLevel="0" collapsed="false">
      <c r="A13" s="1"/>
      <c r="B13" s="5" t="s">
        <v>60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  <c r="Q13" s="1"/>
      <c r="R13" s="1"/>
    </row>
    <row r="14" customFormat="false" ht="25.5" hidden="false" customHeight="true" outlineLevel="0" collapsed="false">
      <c r="A14" s="1"/>
      <c r="B14" s="23" t="s">
        <v>61</v>
      </c>
      <c r="C14" s="23" t="s">
        <v>62</v>
      </c>
      <c r="D14" s="23" t="s">
        <v>63</v>
      </c>
      <c r="E14" s="23" t="s">
        <v>64</v>
      </c>
      <c r="F14" s="23" t="s">
        <v>65</v>
      </c>
      <c r="G14" s="23" t="s">
        <v>66</v>
      </c>
      <c r="H14" s="24"/>
      <c r="I14" s="24"/>
      <c r="J14" s="24"/>
      <c r="K14" s="24"/>
      <c r="L14" s="24"/>
      <c r="M14" s="24"/>
      <c r="N14" s="24"/>
      <c r="O14" s="1"/>
      <c r="P14" s="1"/>
      <c r="Q14" s="1"/>
      <c r="R14" s="1"/>
    </row>
    <row r="15" customFormat="false" ht="19.5" hidden="false" customHeight="true" outlineLevel="0" collapsed="false">
      <c r="A15" s="1"/>
      <c r="B15" s="25" t="s">
        <v>67</v>
      </c>
      <c r="C15" s="26" t="n">
        <f aca="false">PnL_Statement!C11</f>
        <v>25737.51</v>
      </c>
      <c r="D15" s="26" t="n">
        <f aca="false">PnL_Statement!C15</f>
        <v>19700</v>
      </c>
      <c r="E15" s="26" t="n">
        <f aca="false">PnL_Statement!C24</f>
        <v>39635.515</v>
      </c>
      <c r="F15" s="27" t="n">
        <f aca="false">PnL_Statement!C26</f>
        <v>-33598.005</v>
      </c>
      <c r="G15" s="28" t="n">
        <f aca="false">IFERROR(F15/C15,0)</f>
        <v>-1.30541008046233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9.5" hidden="false" customHeight="true" outlineLevel="0" collapsed="false">
      <c r="A16" s="1"/>
      <c r="B16" s="25" t="s">
        <v>68</v>
      </c>
      <c r="C16" s="26" t="n">
        <f aca="false">PnL_Statement!D11</f>
        <v>23034.3</v>
      </c>
      <c r="D16" s="26" t="n">
        <f aca="false">PnL_Statement!D15</f>
        <v>16300</v>
      </c>
      <c r="E16" s="26" t="n">
        <f aca="false">PnL_Statement!D24</f>
        <v>40616.45</v>
      </c>
      <c r="F16" s="29" t="n">
        <f aca="false">PnL_Statement!D26</f>
        <v>-33882.15</v>
      </c>
      <c r="G16" s="28" t="n">
        <f aca="false">IFERROR(F16/C16,0)</f>
        <v>-1.47094333233482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9.5" hidden="false" customHeight="true" outlineLevel="0" collapsed="false">
      <c r="A17" s="1"/>
      <c r="B17" s="25" t="s">
        <v>69</v>
      </c>
      <c r="C17" s="26" t="n">
        <f aca="false">PnL_Statement!E11</f>
        <v>26464.44</v>
      </c>
      <c r="D17" s="26" t="n">
        <f aca="false">PnL_Statement!E15</f>
        <v>30300</v>
      </c>
      <c r="E17" s="26" t="n">
        <f aca="false">PnL_Statement!E24</f>
        <v>42515.19</v>
      </c>
      <c r="F17" s="29" t="n">
        <f aca="false">PnL_Statement!E26</f>
        <v>-46350.75</v>
      </c>
      <c r="G17" s="28" t="n">
        <f aca="false">IFERROR(F17/C17,0)</f>
        <v>-1.75143513333364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9.5" hidden="false" customHeight="true" outlineLevel="0" collapsed="false">
      <c r="A18" s="1"/>
      <c r="B18" s="25" t="s">
        <v>70</v>
      </c>
      <c r="C18" s="26" t="n">
        <f aca="false">PnL_Statement!F11</f>
        <v>13088.26</v>
      </c>
      <c r="D18" s="26" t="n">
        <f aca="false">PnL_Statement!F15</f>
        <v>9300</v>
      </c>
      <c r="E18" s="26" t="n">
        <f aca="false">PnL_Statement!F24</f>
        <v>42458.97</v>
      </c>
      <c r="F18" s="27" t="n">
        <f aca="false">PnL_Statement!F26</f>
        <v>-38670.71</v>
      </c>
      <c r="G18" s="28" t="n">
        <f aca="false">IFERROR(F18/C18,0)</f>
        <v>-2.95461046770159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9.5" hidden="false" customHeight="true" outlineLevel="0" collapsed="false">
      <c r="A19" s="1"/>
      <c r="B19" s="25" t="s">
        <v>71</v>
      </c>
      <c r="C19" s="26" t="n">
        <f aca="false">PnL_Statement!G11</f>
        <v>12589.43</v>
      </c>
      <c r="D19" s="26" t="n">
        <f aca="false">PnL_Statement!G15</f>
        <v>17300</v>
      </c>
      <c r="E19" s="26" t="n">
        <f aca="false">PnL_Statement!G24</f>
        <v>18858.3</v>
      </c>
      <c r="F19" s="29" t="n">
        <f aca="false">PnL_Statement!G26</f>
        <v>-23568.87</v>
      </c>
      <c r="G19" s="28" t="n">
        <f aca="false">IFERROR(F19/C19,0)</f>
        <v>-1.8721157351842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9.5" hidden="false" customHeight="true" outlineLevel="0" collapsed="false">
      <c r="A20" s="1"/>
      <c r="B20" s="25" t="s">
        <v>72</v>
      </c>
      <c r="C20" s="26" t="n">
        <f aca="false">PnL_Statement!H11</f>
        <v>33888.23</v>
      </c>
      <c r="D20" s="26" t="n">
        <f aca="false">PnL_Statement!H15</f>
        <v>12400</v>
      </c>
      <c r="E20" s="26" t="n">
        <f aca="false">PnL_Statement!H24</f>
        <v>20190.47</v>
      </c>
      <c r="F20" s="29" t="n">
        <f aca="false">PnL_Statement!H26</f>
        <v>1297.76</v>
      </c>
      <c r="G20" s="28" t="n">
        <f aca="false">IFERROR(F20/C20,0)</f>
        <v>0.0382953019381655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9.5" hidden="false" customHeight="true" outlineLevel="0" collapsed="false">
      <c r="A21" s="1"/>
      <c r="B21" s="25" t="s">
        <v>73</v>
      </c>
      <c r="C21" s="26" t="n">
        <f aca="false">PnL_Statement!I11</f>
        <v>12773.75</v>
      </c>
      <c r="D21" s="26" t="n">
        <f aca="false">PnL_Statement!I15</f>
        <v>14000</v>
      </c>
      <c r="E21" s="26" t="n">
        <f aca="false">PnL_Statement!I24</f>
        <v>21003.45</v>
      </c>
      <c r="F21" s="27" t="n">
        <f aca="false">PnL_Statement!I26</f>
        <v>-22229.7</v>
      </c>
      <c r="G21" s="28" t="n">
        <f aca="false">IFERROR(F21/C21,0)</f>
        <v>-1.74026421371954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9.5" hidden="false" customHeight="true" outlineLevel="0" collapsed="false">
      <c r="A22" s="1"/>
      <c r="B22" s="25" t="s">
        <v>74</v>
      </c>
      <c r="C22" s="26" t="n">
        <f aca="false">PnL_Statement!J11</f>
        <v>10331</v>
      </c>
      <c r="D22" s="26" t="n">
        <f aca="false">PnL_Statement!J15</f>
        <v>4500</v>
      </c>
      <c r="E22" s="26" t="n">
        <f aca="false">PnL_Statement!J24</f>
        <v>332.6</v>
      </c>
      <c r="F22" s="29" t="n">
        <f aca="false">PnL_Statement!J26</f>
        <v>5498.4</v>
      </c>
      <c r="G22" s="28" t="n">
        <f aca="false">IFERROR(F22/C22,0)</f>
        <v>0.532223405285064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9.5" hidden="false" customHeight="true" outlineLevel="0" collapsed="false">
      <c r="A23" s="1"/>
      <c r="B23" s="25" t="s">
        <v>75</v>
      </c>
      <c r="C23" s="26" t="n">
        <f aca="false">PnL_Statement!K11</f>
        <v>13051.64</v>
      </c>
      <c r="D23" s="26" t="n">
        <f aca="false">PnL_Statement!K15</f>
        <v>9800</v>
      </c>
      <c r="E23" s="26" t="n">
        <f aca="false">PnL_Statement!K24</f>
        <v>297.97</v>
      </c>
      <c r="F23" s="29" t="n">
        <f aca="false">PnL_Statement!K26</f>
        <v>2953.67</v>
      </c>
      <c r="G23" s="28" t="n">
        <f aca="false">IFERROR(F23/C23,0)</f>
        <v>0.226306425859126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9.5" hidden="false" customHeight="true" outlineLevel="0" collapsed="false">
      <c r="A24" s="1"/>
      <c r="B24" s="25" t="s">
        <v>76</v>
      </c>
      <c r="C24" s="26" t="n">
        <f aca="false">PnL_Statement!L11</f>
        <v>26314.55</v>
      </c>
      <c r="D24" s="26" t="n">
        <f aca="false">PnL_Statement!L15</f>
        <v>0</v>
      </c>
      <c r="E24" s="26" t="n">
        <f aca="false">PnL_Statement!L24</f>
        <v>0</v>
      </c>
      <c r="F24" s="27" t="n">
        <f aca="false">PnL_Statement!L26</f>
        <v>26314.55</v>
      </c>
      <c r="G24" s="28" t="n">
        <f aca="false">IFERROR(F24/C24,0)</f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9.5" hidden="false" customHeight="true" outlineLevel="0" collapsed="false">
      <c r="A25" s="1"/>
      <c r="B25" s="25" t="s">
        <v>77</v>
      </c>
      <c r="C25" s="26" t="n">
        <f aca="false">PnL_Statement!M11</f>
        <v>10979</v>
      </c>
      <c r="D25" s="26" t="n">
        <f aca="false">PnL_Statement!M15</f>
        <v>0</v>
      </c>
      <c r="E25" s="26" t="n">
        <f aca="false">PnL_Statement!M24</f>
        <v>0</v>
      </c>
      <c r="F25" s="29" t="n">
        <f aca="false">PnL_Statement!M26</f>
        <v>10979</v>
      </c>
      <c r="G25" s="28" t="n">
        <f aca="false">IFERROR(F25/C25,0)</f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9.5" hidden="false" customHeight="true" outlineLevel="0" collapsed="false">
      <c r="A26" s="1"/>
      <c r="B26" s="25" t="s">
        <v>78</v>
      </c>
      <c r="C26" s="26" t="n">
        <f aca="false">PnL_Statement!N11</f>
        <v>10643.66</v>
      </c>
      <c r="D26" s="26" t="n">
        <f aca="false">PnL_Statement!N15</f>
        <v>0</v>
      </c>
      <c r="E26" s="26" t="n">
        <f aca="false">PnL_Statement!N24</f>
        <v>0</v>
      </c>
      <c r="F26" s="29" t="n">
        <f aca="false">PnL_Statement!N26</f>
        <v>10643.66</v>
      </c>
      <c r="G26" s="28" t="n">
        <f aca="false">IFERROR(F26/C26,0)</f>
        <v>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5.5" hidden="false" customHeight="true" outlineLevel="0" collapsed="false">
      <c r="A27" s="1"/>
      <c r="B27" s="30" t="s">
        <v>79</v>
      </c>
      <c r="C27" s="31" t="n">
        <f aca="false">SUM(C15:C26)</f>
        <v>218895.77</v>
      </c>
      <c r="D27" s="31" t="n">
        <f aca="false">SUM(D15:D26)</f>
        <v>133600</v>
      </c>
      <c r="E27" s="31" t="n">
        <f aca="false">SUM(E15:E26)</f>
        <v>225908.915</v>
      </c>
      <c r="F27" s="31" t="n">
        <f aca="false">SUM(F15:F26)</f>
        <v>-140613.145</v>
      </c>
      <c r="G27" s="32" t="n">
        <f aca="false">IFERROR(F27/C27,0)</f>
        <v>-0.642374884631165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25.5" hidden="false" customHeight="true" outlineLevel="0" collapsed="false">
      <c r="A30" s="1"/>
      <c r="B30" s="10" t="s">
        <v>80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25.5" hidden="false" customHeight="true" outlineLevel="0" collapsed="false">
      <c r="A54" s="1"/>
      <c r="B54" s="12" t="s">
        <v>81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21">
    <mergeCell ref="B2:N2"/>
    <mergeCell ref="B3:N3"/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K9:M9"/>
    <mergeCell ref="B10:D11"/>
    <mergeCell ref="E10:G11"/>
    <mergeCell ref="H10:J11"/>
    <mergeCell ref="K10:M11"/>
    <mergeCell ref="B13:N13"/>
    <mergeCell ref="B30:N30"/>
    <mergeCell ref="B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5" min="3" style="0" width="12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</row>
    <row r="3" customFormat="false" ht="18" hidden="false" customHeight="true" outlineLevel="0" collapsed="false">
      <c r="A3" s="1"/>
      <c r="B3" s="3" t="s">
        <v>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5.5" hidden="false" customHeight="true" outlineLevel="0" collapsed="false">
      <c r="A5" s="1"/>
      <c r="B5" s="5" t="s">
        <v>84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1"/>
    </row>
    <row r="6" customFormat="false" ht="30" hidden="false" customHeight="true" outlineLevel="0" collapsed="false">
      <c r="A6" s="1"/>
      <c r="B6" s="33" t="s">
        <v>85</v>
      </c>
      <c r="C6" s="34" t="s">
        <v>67</v>
      </c>
      <c r="D6" s="34" t="s">
        <v>68</v>
      </c>
      <c r="E6" s="34" t="s">
        <v>69</v>
      </c>
      <c r="F6" s="34" t="s">
        <v>70</v>
      </c>
      <c r="G6" s="34" t="s">
        <v>71</v>
      </c>
      <c r="H6" s="34" t="s">
        <v>72</v>
      </c>
      <c r="I6" s="34" t="s">
        <v>73</v>
      </c>
      <c r="J6" s="34" t="s">
        <v>74</v>
      </c>
      <c r="K6" s="34" t="s">
        <v>75</v>
      </c>
      <c r="L6" s="34" t="s">
        <v>76</v>
      </c>
      <c r="M6" s="34" t="s">
        <v>77</v>
      </c>
      <c r="N6" s="34" t="s">
        <v>78</v>
      </c>
      <c r="O6" s="34" t="s">
        <v>86</v>
      </c>
      <c r="P6" s="35"/>
      <c r="Q6" s="1"/>
      <c r="R6" s="1"/>
    </row>
    <row r="7" customFormat="false" ht="19.5" hidden="false" customHeight="true" outlineLevel="0" collapsed="false">
      <c r="A7" s="1"/>
      <c r="B7" s="36" t="s">
        <v>87</v>
      </c>
      <c r="C7" s="37" t="n">
        <f aca="false">SUMIFS(Raw_Stripe!$H$6:$H$49,Raw_Stripe!$M$6:$M$49,"Jan-25",Raw_Stripe!$N$6:$N$49,"WhatsApp")</f>
        <v>4202.01</v>
      </c>
      <c r="D7" s="37" t="n">
        <f aca="false">SUMIFS(Raw_Stripe!$H$6:$H$49,Raw_Stripe!$M$6:$M$49,"Feb-25",Raw_Stripe!$N$6:$N$49,"WhatsApp")</f>
        <v>3825.85</v>
      </c>
      <c r="E7" s="37" t="n">
        <f aca="false">SUMIFS(Raw_Stripe!$H$6:$H$49,Raw_Stripe!$M$6:$M$49,"Mar-25",Raw_Stripe!$N$6:$N$49,"WhatsApp")</f>
        <v>4625.64</v>
      </c>
      <c r="F7" s="37" t="n">
        <f aca="false">SUMIFS(Raw_Stripe!$H$6:$H$49,Raw_Stripe!$M$6:$M$49,"Apr-25",Raw_Stripe!$N$6:$N$49,"WhatsApp")</f>
        <v>1279.81</v>
      </c>
      <c r="G7" s="37" t="n">
        <f aca="false">SUMIFS(Raw_Stripe!$H$6:$H$49,Raw_Stripe!$M$6:$M$49,"May-25",Raw_Stripe!$N$6:$N$49,"WhatsApp")</f>
        <v>1334.27</v>
      </c>
      <c r="H7" s="37" t="n">
        <f aca="false">SUMIFS(Raw_Stripe!$H$6:$H$49,Raw_Stripe!$M$6:$M$49,"Jun-25",Raw_Stripe!$N$6:$N$49,"WhatsApp")</f>
        <v>7061.03</v>
      </c>
      <c r="I7" s="37" t="n">
        <f aca="false">SUMIFS(Raw_Stripe!$H$6:$H$49,Raw_Stripe!$M$6:$M$49,"Jul-25",Raw_Stripe!$N$6:$N$49,"WhatsApp")</f>
        <v>1415.96</v>
      </c>
      <c r="J7" s="37" t="n">
        <f aca="false">SUMIFS(Raw_Stripe!$H$6:$H$49,Raw_Stripe!$M$6:$M$49,"Aug-25",Raw_Stripe!$N$6:$N$49,"WhatsApp")</f>
        <v>2831</v>
      </c>
      <c r="K7" s="37" t="n">
        <f aca="false">SUMIFS(Raw_Stripe!$H$6:$H$49,Raw_Stripe!$M$6:$M$49,"Sep-25",Raw_Stripe!$N$6:$N$49,"WhatsApp")</f>
        <v>1851.64</v>
      </c>
      <c r="L7" s="37" t="n">
        <f aca="false">SUMIFS(Raw_Stripe!$H$6:$H$49,Raw_Stripe!$M$6:$M$49,"Oct-25",Raw_Stripe!$N$6:$N$49,"WhatsApp")</f>
        <v>0</v>
      </c>
      <c r="M7" s="37" t="n">
        <f aca="false">SUMIFS(Raw_Stripe!$H$6:$H$49,Raw_Stripe!$M$6:$M$49,"Nov-25",Raw_Stripe!$N$6:$N$49,"WhatsApp")</f>
        <v>3135.3</v>
      </c>
      <c r="N7" s="37" t="n">
        <f aca="false">SUMIFS(Raw_Stripe!$H$6:$H$49,Raw_Stripe!$M$6:$M$49,"Dec-25",Raw_Stripe!$N$6:$N$49,"WhatsApp")</f>
        <v>0</v>
      </c>
      <c r="O7" s="37" t="n">
        <f aca="false">SUM(C7:N7)</f>
        <v>31562.51</v>
      </c>
      <c r="P7" s="1"/>
      <c r="Q7" s="1"/>
      <c r="R7" s="1"/>
    </row>
    <row r="8" customFormat="false" ht="19.5" hidden="false" customHeight="true" outlineLevel="0" collapsed="false">
      <c r="A8" s="1"/>
      <c r="B8" s="38" t="s">
        <v>88</v>
      </c>
      <c r="C8" s="39" t="n">
        <f aca="false">SUMIFS(Raw_Stripe!$H$6:$H$49,Raw_Stripe!$M$6:$M$49,"Jan-25",Raw_Stripe!$N$6:$N$49,"Subscription")</f>
        <v>13782.45</v>
      </c>
      <c r="D8" s="39" t="n">
        <f aca="false">SUMIFS(Raw_Stripe!$H$6:$H$49,Raw_Stripe!$M$6:$M$49,"Feb-25",Raw_Stripe!$N$6:$N$49,"Subscription")</f>
        <v>408.45</v>
      </c>
      <c r="E8" s="39" t="n">
        <f aca="false">SUMIFS(Raw_Stripe!$H$6:$H$49,Raw_Stripe!$M$6:$M$49,"Mar-25",Raw_Stripe!$N$6:$N$49,"Subscription")</f>
        <v>408.45</v>
      </c>
      <c r="F8" s="39" t="n">
        <f aca="false">SUMIFS(Raw_Stripe!$H$6:$H$49,Raw_Stripe!$M$6:$M$49,"Apr-25",Raw_Stripe!$N$6:$N$49,"Subscription")</f>
        <v>2608.45</v>
      </c>
      <c r="G8" s="39" t="n">
        <f aca="false">SUMIFS(Raw_Stripe!$H$6:$H$49,Raw_Stripe!$M$6:$M$49,"May-25",Raw_Stripe!$N$6:$N$49,"Subscription")</f>
        <v>1339.2</v>
      </c>
      <c r="H8" s="39" t="n">
        <f aca="false">SUMIFS(Raw_Stripe!$H$6:$H$49,Raw_Stripe!$M$6:$M$49,"Jun-25",Raw_Stripe!$N$6:$N$49,"Subscription")</f>
        <v>24000</v>
      </c>
      <c r="I8" s="39" t="n">
        <f aca="false">SUMIFS(Raw_Stripe!$H$6:$H$49,Raw_Stripe!$M$6:$M$49,"Jul-25",Raw_Stripe!$N$6:$N$49,"Subscription")</f>
        <v>0</v>
      </c>
      <c r="J8" s="39" t="n">
        <f aca="false">SUMIFS(Raw_Stripe!$H$6:$H$49,Raw_Stripe!$M$6:$M$49,"Aug-25",Raw_Stripe!$N$6:$N$49,"Subscription")</f>
        <v>0</v>
      </c>
      <c r="K8" s="39" t="n">
        <f aca="false">SUMIFS(Raw_Stripe!$H$6:$H$49,Raw_Stripe!$M$6:$M$49,"Sep-25",Raw_Stripe!$N$6:$N$49,"Subscription")</f>
        <v>0</v>
      </c>
      <c r="L8" s="39" t="n">
        <f aca="false">SUMIFS(Raw_Stripe!$H$6:$H$49,Raw_Stripe!$M$6:$M$49,"Oct-25",Raw_Stripe!$N$6:$N$49,"Subscription")</f>
        <v>24000</v>
      </c>
      <c r="M8" s="39" t="n">
        <f aca="false">SUMIFS(Raw_Stripe!$H$6:$H$49,Raw_Stripe!$M$6:$M$49,"Nov-25",Raw_Stripe!$N$6:$N$49,"Subscription")</f>
        <v>1343.7</v>
      </c>
      <c r="N8" s="39" t="n">
        <f aca="false">SUMIFS(Raw_Stripe!$H$6:$H$49,Raw_Stripe!$M$6:$M$49,"Dec-25",Raw_Stripe!$N$6:$N$49,"Subscription")</f>
        <v>0</v>
      </c>
      <c r="O8" s="39" t="n">
        <f aca="false">SUM(C8:N8)</f>
        <v>67890.7</v>
      </c>
      <c r="P8" s="1"/>
      <c r="Q8" s="1"/>
      <c r="R8" s="1"/>
    </row>
    <row r="9" customFormat="false" ht="19.5" hidden="false" customHeight="true" outlineLevel="0" collapsed="false">
      <c r="A9" s="1"/>
      <c r="B9" s="36" t="s">
        <v>89</v>
      </c>
      <c r="C9" s="37" t="n">
        <f aca="false">SUMIFS(Raw_Stripe!$H$6:$H$49,Raw_Stripe!$M$6:$M$49,"Jan-25",Raw_Stripe!$N$6:$N$49,"Development")</f>
        <v>6800</v>
      </c>
      <c r="D9" s="37" t="n">
        <f aca="false">SUMIFS(Raw_Stripe!$H$6:$H$49,Raw_Stripe!$M$6:$M$49,"Feb-25",Raw_Stripe!$N$6:$N$49,"Development")</f>
        <v>12000</v>
      </c>
      <c r="E9" s="37" t="n">
        <f aca="false">SUMIFS(Raw_Stripe!$H$6:$H$49,Raw_Stripe!$M$6:$M$49,"Mar-25",Raw_Stripe!$N$6:$N$49,"Development")</f>
        <v>18086.85</v>
      </c>
      <c r="F9" s="37" t="n">
        <f aca="false">SUMIFS(Raw_Stripe!$H$6:$H$49,Raw_Stripe!$M$6:$M$49,"Apr-25",Raw_Stripe!$N$6:$N$49,"Development")</f>
        <v>0</v>
      </c>
      <c r="G9" s="37" t="n">
        <f aca="false">SUMIFS(Raw_Stripe!$H$6:$H$49,Raw_Stripe!$M$6:$M$49,"May-25",Raw_Stripe!$N$6:$N$49,"Development")</f>
        <v>8500</v>
      </c>
      <c r="H9" s="37" t="n">
        <f aca="false">SUMIFS(Raw_Stripe!$H$6:$H$49,Raw_Stripe!$M$6:$M$49,"Jun-25",Raw_Stripe!$N$6:$N$49,"Development")</f>
        <v>0</v>
      </c>
      <c r="I9" s="37" t="n">
        <f aca="false">SUMIFS(Raw_Stripe!$H$6:$H$49,Raw_Stripe!$M$6:$M$49,"Jul-25",Raw_Stripe!$N$6:$N$49,"Development")</f>
        <v>10050.75</v>
      </c>
      <c r="J9" s="37" t="n">
        <f aca="false">SUMIFS(Raw_Stripe!$H$6:$H$49,Raw_Stripe!$M$6:$M$49,"Aug-25",Raw_Stripe!$N$6:$N$49,"Development")</f>
        <v>0</v>
      </c>
      <c r="K9" s="37" t="n">
        <f aca="false">SUMIFS(Raw_Stripe!$H$6:$H$49,Raw_Stripe!$M$6:$M$49,"Sep-25",Raw_Stripe!$N$6:$N$49,"Development")</f>
        <v>11200</v>
      </c>
      <c r="L9" s="37" t="n">
        <f aca="false">SUMIFS(Raw_Stripe!$H$6:$H$49,Raw_Stripe!$M$6:$M$49,"Oct-25",Raw_Stripe!$N$6:$N$49,"Development")</f>
        <v>2314.55</v>
      </c>
      <c r="M9" s="37" t="n">
        <f aca="false">SUMIFS(Raw_Stripe!$H$6:$H$49,Raw_Stripe!$M$6:$M$49,"Nov-25",Raw_Stripe!$N$6:$N$49,"Development")</f>
        <v>0</v>
      </c>
      <c r="N9" s="37" t="n">
        <f aca="false">SUMIFS(Raw_Stripe!$H$6:$H$49,Raw_Stripe!$M$6:$M$49,"Dec-25",Raw_Stripe!$N$6:$N$49,"Development")</f>
        <v>9500</v>
      </c>
      <c r="O9" s="37" t="n">
        <f aca="false">SUM(C9:N9)</f>
        <v>78452.15</v>
      </c>
      <c r="P9" s="1"/>
      <c r="Q9" s="1"/>
      <c r="R9" s="1"/>
    </row>
    <row r="10" customFormat="false" ht="19.5" hidden="false" customHeight="true" outlineLevel="0" collapsed="false">
      <c r="A10" s="1"/>
      <c r="B10" s="38" t="s">
        <v>90</v>
      </c>
      <c r="C10" s="39" t="n">
        <f aca="false">SUMIFS(Raw_Stripe!$H$6:$H$49,Raw_Stripe!$M$6:$M$49,"Jan-25",Raw_Stripe!$N$6:$N$49,"Other Services")</f>
        <v>953.05</v>
      </c>
      <c r="D10" s="39" t="n">
        <f aca="false">SUMIFS(Raw_Stripe!$H$6:$H$49,Raw_Stripe!$M$6:$M$49,"Feb-25",Raw_Stripe!$N$6:$N$49,"Other Services")</f>
        <v>6800</v>
      </c>
      <c r="E10" s="39" t="n">
        <f aca="false">SUMIFS(Raw_Stripe!$H$6:$H$49,Raw_Stripe!$M$6:$M$49,"Mar-25",Raw_Stripe!$N$6:$N$49,"Other Services")</f>
        <v>3343.5</v>
      </c>
      <c r="F10" s="39" t="n">
        <f aca="false">SUMIFS(Raw_Stripe!$H$6:$H$49,Raw_Stripe!$M$6:$M$49,"Apr-25",Raw_Stripe!$N$6:$N$49,"Other Services")</f>
        <v>9200</v>
      </c>
      <c r="G10" s="39" t="n">
        <f aca="false">SUMIFS(Raw_Stripe!$H$6:$H$49,Raw_Stripe!$M$6:$M$49,"May-25",Raw_Stripe!$N$6:$N$49,"Other Services")</f>
        <v>1415.96</v>
      </c>
      <c r="H10" s="39" t="n">
        <f aca="false">SUMIFS(Raw_Stripe!$H$6:$H$49,Raw_Stripe!$M$6:$M$49,"Jun-25",Raw_Stripe!$N$6:$N$49,"Other Services")</f>
        <v>2827.2</v>
      </c>
      <c r="I10" s="39" t="n">
        <f aca="false">SUMIFS(Raw_Stripe!$H$6:$H$49,Raw_Stripe!$M$6:$M$49,"Jul-25",Raw_Stripe!$N$6:$N$49,"Other Services")</f>
        <v>1307.04</v>
      </c>
      <c r="J10" s="39" t="n">
        <f aca="false">SUMIFS(Raw_Stripe!$H$6:$H$49,Raw_Stripe!$M$6:$M$49,"Aug-25",Raw_Stripe!$N$6:$N$49,"Other Services")</f>
        <v>7500</v>
      </c>
      <c r="K10" s="39" t="n">
        <f aca="false">SUMIFS(Raw_Stripe!$H$6:$H$49,Raw_Stripe!$M$6:$M$49,"Sep-25",Raw_Stripe!$N$6:$N$49,"Other Services")</f>
        <v>0</v>
      </c>
      <c r="L10" s="39" t="n">
        <f aca="false">SUMIFS(Raw_Stripe!$H$6:$H$49,Raw_Stripe!$M$6:$M$49,"Oct-25",Raw_Stripe!$N$6:$N$49,"Other Services")</f>
        <v>0</v>
      </c>
      <c r="M10" s="39" t="n">
        <f aca="false">SUMIFS(Raw_Stripe!$H$6:$H$49,Raw_Stripe!$M$6:$M$49,"Nov-25",Raw_Stripe!$N$6:$N$49,"Other Services")</f>
        <v>6500</v>
      </c>
      <c r="N10" s="39" t="n">
        <f aca="false">SUMIFS(Raw_Stripe!$H$6:$H$49,Raw_Stripe!$M$6:$M$49,"Dec-25",Raw_Stripe!$N$6:$N$49,"Other Services")</f>
        <v>1143.66</v>
      </c>
      <c r="O10" s="39" t="n">
        <f aca="false">SUM(C10:N10)</f>
        <v>40990.41</v>
      </c>
      <c r="P10" s="1"/>
      <c r="Q10" s="1"/>
      <c r="R10" s="1"/>
    </row>
    <row r="11" customFormat="false" ht="24" hidden="false" customHeight="true" outlineLevel="0" collapsed="false">
      <c r="A11" s="1"/>
      <c r="B11" s="40" t="s">
        <v>91</v>
      </c>
      <c r="C11" s="41" t="n">
        <f aca="false">SUM(C7:C10)</f>
        <v>25737.51</v>
      </c>
      <c r="D11" s="41" t="n">
        <f aca="false">SUM(D7:D10)</f>
        <v>23034.3</v>
      </c>
      <c r="E11" s="41" t="n">
        <f aca="false">SUM(E7:E10)</f>
        <v>26464.44</v>
      </c>
      <c r="F11" s="41" t="n">
        <f aca="false">SUM(F7:F10)</f>
        <v>13088.26</v>
      </c>
      <c r="G11" s="41" t="n">
        <f aca="false">SUM(G7:G10)</f>
        <v>12589.43</v>
      </c>
      <c r="H11" s="41" t="n">
        <f aca="false">SUM(H7:H10)</f>
        <v>33888.23</v>
      </c>
      <c r="I11" s="41" t="n">
        <f aca="false">SUM(I7:I10)</f>
        <v>12773.75</v>
      </c>
      <c r="J11" s="41" t="n">
        <f aca="false">SUM(J7:J10)</f>
        <v>10331</v>
      </c>
      <c r="K11" s="41" t="n">
        <f aca="false">SUM(K7:K10)</f>
        <v>13051.64</v>
      </c>
      <c r="L11" s="41" t="n">
        <f aca="false">SUM(L7:L10)</f>
        <v>26314.55</v>
      </c>
      <c r="M11" s="41" t="n">
        <f aca="false">SUM(M7:M10)</f>
        <v>10979</v>
      </c>
      <c r="N11" s="41" t="n">
        <f aca="false">SUM(N7:N10)</f>
        <v>10643.66</v>
      </c>
      <c r="O11" s="41" t="n">
        <f aca="false">SUM(C11:N11)</f>
        <v>218895.77</v>
      </c>
      <c r="P11" s="1"/>
      <c r="Q11" s="1"/>
      <c r="R11" s="1"/>
    </row>
    <row r="12" customFormat="false" ht="18" hidden="false" customHeight="true" outlineLevel="0" collapsed="false">
      <c r="A12" s="1"/>
      <c r="B12" s="42" t="s">
        <v>92</v>
      </c>
      <c r="C12" s="43" t="s">
        <v>93</v>
      </c>
      <c r="D12" s="44" t="n">
        <f aca="false">IFERROR((D11/C11)-1,"-")</f>
        <v>-0.105029973762031</v>
      </c>
      <c r="E12" s="44" t="n">
        <f aca="false">IFERROR((E11/D11)-1,"-")</f>
        <v>0.148914444979878</v>
      </c>
      <c r="F12" s="44" t="n">
        <f aca="false">IFERROR((F11/E11)-1,"-")</f>
        <v>-0.505439752362038</v>
      </c>
      <c r="G12" s="44" t="n">
        <f aca="false">IFERROR((G11/F11)-1,"-")</f>
        <v>-0.0381127819893553</v>
      </c>
      <c r="H12" s="44" t="n">
        <f aca="false">IFERROR((H11/G11)-1,"-")</f>
        <v>1.69180018475817</v>
      </c>
      <c r="I12" s="44" t="n">
        <f aca="false">IFERROR((I11/H11)-1,"-")</f>
        <v>-0.623062343474416</v>
      </c>
      <c r="J12" s="44" t="n">
        <f aca="false">IFERROR((J11/I11)-1,"-")</f>
        <v>-0.191232018788531</v>
      </c>
      <c r="K12" s="44" t="n">
        <f aca="false">IFERROR((K11/J11)-1,"-")</f>
        <v>0.263347207433937</v>
      </c>
      <c r="L12" s="44" t="n">
        <f aca="false">IFERROR((L11/K11)-1,"-")</f>
        <v>1.01618723777242</v>
      </c>
      <c r="M12" s="44" t="n">
        <f aca="false">IFERROR((M11/L11)-1,"-")</f>
        <v>-0.582778348860231</v>
      </c>
      <c r="N12" s="44" t="n">
        <f aca="false">IFERROR((N11/M11)-1,"-")</f>
        <v>-0.0305437653702523</v>
      </c>
      <c r="O12" s="1"/>
      <c r="P12" s="1"/>
      <c r="Q12" s="1"/>
      <c r="R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21.75" hidden="false" customHeight="true" outlineLevel="0" collapsed="false">
      <c r="A15" s="1"/>
      <c r="B15" s="10" t="s">
        <v>94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4">
    <mergeCell ref="B2:P2"/>
    <mergeCell ref="B3:P3"/>
    <mergeCell ref="B5:P5"/>
    <mergeCell ref="B15:P15"/>
  </mergeCells>
  <conditionalFormatting sqref="D12:N1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O7:O10">
    <cfRule type="dataBar" priority="4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{8A80541B-DCEE-4232-9019-4876856B8BC5}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80541B-DCEE-4232-9019-4876856B8BC5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O7:O10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95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96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5" t="s">
        <v>97</v>
      </c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</row>
    <row r="6" customFormat="false" ht="31.5" hidden="false" customHeight="true" outlineLevel="0" collapsed="false">
      <c r="A6" s="1"/>
      <c r="B6" s="23" t="s">
        <v>98</v>
      </c>
      <c r="C6" s="23" t="s">
        <v>99</v>
      </c>
      <c r="D6" s="23" t="s">
        <v>100</v>
      </c>
      <c r="E6" s="23" t="s">
        <v>101</v>
      </c>
      <c r="F6" s="23" t="s">
        <v>102</v>
      </c>
      <c r="G6" s="23" t="s">
        <v>103</v>
      </c>
      <c r="H6" s="23" t="s">
        <v>104</v>
      </c>
      <c r="I6" s="23" t="s">
        <v>105</v>
      </c>
      <c r="J6" s="23" t="s">
        <v>106</v>
      </c>
      <c r="K6" s="23" t="s">
        <v>107</v>
      </c>
      <c r="L6" s="1"/>
      <c r="M6" s="1"/>
      <c r="N6" s="1"/>
    </row>
    <row r="7" customFormat="false" ht="19.5" hidden="false" customHeight="true" outlineLevel="0" collapsed="false">
      <c r="A7" s="1"/>
      <c r="B7" s="45" t="s">
        <v>108</v>
      </c>
      <c r="C7" s="46" t="n">
        <f aca="false">SUMIFS(Raw_Stripe!$L$6:$L$49,Raw_Stripe!$D$6:$D$49,B7,Raw_Stripe!$O$6:$O$49,"UAE")</f>
        <v>10554.5</v>
      </c>
      <c r="D7" s="46" t="n">
        <f aca="true">SUMIFS(Raw_Stripe!$L$6:$L$49,Raw_Stripe!$D$6:$D$49,B7,Raw_Stripe!$O$6:$O$49,"UAE",Raw_Stripe!$C$6:$C$49,"&gt;="&amp;(TODAY()-30))</f>
        <v>0</v>
      </c>
      <c r="E7" s="46" t="n">
        <f aca="true">SUMIFS(Raw_Stripe!$L$6:$L$49,Raw_Stripe!$D$6:$D$49,B7,Raw_Stripe!$O$6:$O$49,"UAE",Raw_Stripe!$C$6:$C$49,"&gt;="&amp;(TODAY()-60),Raw_Stripe!$C$6:$C$49,"&lt;"&amp;(TODAY()-30))</f>
        <v>0</v>
      </c>
      <c r="F7" s="46" t="n">
        <f aca="true">SUMIFS(Raw_Stripe!$L$6:$L$49,Raw_Stripe!$D$6:$D$49,B7,Raw_Stripe!$O$6:$O$49,"UAE",Raw_Stripe!$C$6:$C$49,"&lt;"&amp;(TODAY()-60))</f>
        <v>10554.5</v>
      </c>
      <c r="G7" s="47" t="s">
        <v>109</v>
      </c>
      <c r="H7" s="46" t="n">
        <f aca="false">C7*Settings_FX!D$27</f>
        <v>2873.99035</v>
      </c>
      <c r="I7" s="48" t="n">
        <f aca="false">IFERROR(C7/$C$15,0)</f>
        <v>0.281044881438975</v>
      </c>
      <c r="J7" s="49" t="str">
        <f aca="false">IFERROR(minifs(Raw_Stripe!$C$6:$C$49,Raw_Stripe!$D$6:$D$49,B7,Raw_Stripe!$L$6:$L$49,"&gt;0"),"")</f>
        <v/>
      </c>
      <c r="K7" s="47" t="str">
        <f aca="false">IF(F7&gt;0,"⚠ 60+ days",IF(E7&gt;0,"⚠ 31-60 days","✓ Current"))</f>
        <v>⚠ 60+ days</v>
      </c>
      <c r="L7" s="1"/>
      <c r="M7" s="1"/>
      <c r="N7" s="1"/>
    </row>
    <row r="8" customFormat="false" ht="19.5" hidden="false" customHeight="true" outlineLevel="0" collapsed="false">
      <c r="A8" s="1"/>
      <c r="B8" s="50" t="s">
        <v>110</v>
      </c>
      <c r="C8" s="51" t="n">
        <f aca="false">SUMIFS(Raw_Stripe!$L$6:$L$49,Raw_Stripe!$D$6:$D$49,B8,Raw_Stripe!$O$6:$O$49,"UAE")</f>
        <v>4200</v>
      </c>
      <c r="D8" s="51" t="n">
        <f aca="true">SUMIFS(Raw_Stripe!$L$6:$L$49,Raw_Stripe!$D$6:$D$49,B8,Raw_Stripe!$O$6:$O$49,"UAE",Raw_Stripe!$C$6:$C$49,"&gt;="&amp;(TODAY()-30))</f>
        <v>0</v>
      </c>
      <c r="E8" s="51" t="n">
        <f aca="true">SUMIFS(Raw_Stripe!$L$6:$L$49,Raw_Stripe!$D$6:$D$49,B8,Raw_Stripe!$O$6:$O$49,"UAE",Raw_Stripe!$C$6:$C$49,"&gt;="&amp;(TODAY()-60),Raw_Stripe!$C$6:$C$49,"&lt;"&amp;(TODAY()-30))</f>
        <v>0</v>
      </c>
      <c r="F8" s="51" t="n">
        <f aca="true">SUMIFS(Raw_Stripe!$L$6:$L$49,Raw_Stripe!$D$6:$D$49,B8,Raw_Stripe!$O$6:$O$49,"UAE",Raw_Stripe!$C$6:$C$49,"&lt;"&amp;(TODAY()-60))</f>
        <v>4200</v>
      </c>
      <c r="G8" s="52" t="s">
        <v>109</v>
      </c>
      <c r="H8" s="51" t="n">
        <f aca="false">C8*Settings_FX!D$27</f>
        <v>1143.66</v>
      </c>
      <c r="I8" s="53" t="n">
        <f aca="false">IFERROR(C8/$C$15,0)</f>
        <v>0.111837462887271</v>
      </c>
      <c r="J8" s="54" t="str">
        <f aca="false">IFERROR(minifs(Raw_Stripe!$C$6:$C$49,Raw_Stripe!$D$6:$D$49,B8,Raw_Stripe!$L$6:$L$49,"&gt;0"),"")</f>
        <v/>
      </c>
      <c r="K8" s="52" t="str">
        <f aca="false">IF(F8&gt;0,"⚠ 60+ days",IF(E8&gt;0,"⚠ 31-60 days","✓ Current"))</f>
        <v>⚠ 60+ days</v>
      </c>
      <c r="L8" s="1"/>
      <c r="M8" s="1"/>
      <c r="N8" s="1"/>
    </row>
    <row r="9" customFormat="false" ht="19.5" hidden="false" customHeight="true" outlineLevel="0" collapsed="false">
      <c r="A9" s="1"/>
      <c r="B9" s="45" t="s">
        <v>111</v>
      </c>
      <c r="C9" s="46" t="n">
        <f aca="false">SUMIFS(Raw_Stripe!$L$6:$L$49,Raw_Stripe!$D$6:$D$49,B9,Raw_Stripe!$O$6:$O$49,"UAE")</f>
        <v>9500</v>
      </c>
      <c r="D9" s="46" t="n">
        <f aca="true">SUMIFS(Raw_Stripe!$L$6:$L$49,Raw_Stripe!$D$6:$D$49,B9,Raw_Stripe!$O$6:$O$49,"UAE",Raw_Stripe!$C$6:$C$49,"&gt;="&amp;(TODAY()-30))</f>
        <v>0</v>
      </c>
      <c r="E9" s="46" t="n">
        <f aca="true">SUMIFS(Raw_Stripe!$L$6:$L$49,Raw_Stripe!$D$6:$D$49,B9,Raw_Stripe!$O$6:$O$49,"UAE",Raw_Stripe!$C$6:$C$49,"&gt;="&amp;(TODAY()-60),Raw_Stripe!$C$6:$C$49,"&lt;"&amp;(TODAY()-30))</f>
        <v>0</v>
      </c>
      <c r="F9" s="46" t="n">
        <f aca="true">SUMIFS(Raw_Stripe!$L$6:$L$49,Raw_Stripe!$D$6:$D$49,B9,Raw_Stripe!$O$6:$O$49,"UAE",Raw_Stripe!$C$6:$C$49,"&lt;"&amp;(TODAY()-60))</f>
        <v>9500</v>
      </c>
      <c r="G9" s="47" t="s">
        <v>112</v>
      </c>
      <c r="H9" s="46" t="n">
        <f aca="false">C9</f>
        <v>9500</v>
      </c>
      <c r="I9" s="48" t="n">
        <f aca="false">IFERROR(C9/$C$15,0)</f>
        <v>0.252965689864064</v>
      </c>
      <c r="J9" s="49" t="str">
        <f aca="false">IFERROR(minifs(Raw_Stripe!$C$6:$C$49,Raw_Stripe!$D$6:$D$49,B9,Raw_Stripe!$L$6:$L$49,"&gt;0"),"")</f>
        <v/>
      </c>
      <c r="K9" s="47" t="str">
        <f aca="false">IF(F9&gt;0,"⚠ 60+ days",IF(E9&gt;0,"⚠ 31-60 days","✓ Current"))</f>
        <v>⚠ 60+ days</v>
      </c>
      <c r="L9" s="1"/>
      <c r="M9" s="1"/>
      <c r="N9" s="1"/>
    </row>
    <row r="10" customFormat="false" ht="19.5" hidden="false" customHeight="true" outlineLevel="0" collapsed="false">
      <c r="A10" s="1"/>
      <c r="B10" s="50" t="s">
        <v>113</v>
      </c>
      <c r="C10" s="51" t="n">
        <f aca="false">SUMIFS(Raw_Stripe!$L$6:$L$49,Raw_Stripe!$D$6:$D$49,B10,Raw_Stripe!$O$6:$O$49,"UAE")</f>
        <v>0</v>
      </c>
      <c r="D10" s="51" t="n">
        <f aca="true">SUMIFS(Raw_Stripe!$L$6:$L$49,Raw_Stripe!$D$6:$D$49,B10,Raw_Stripe!$O$6:$O$49,"UAE",Raw_Stripe!$C$6:$C$49,"&gt;="&amp;(TODAY()-30))</f>
        <v>0</v>
      </c>
      <c r="E10" s="51" t="n">
        <f aca="true">SUMIFS(Raw_Stripe!$L$6:$L$49,Raw_Stripe!$D$6:$D$49,B10,Raw_Stripe!$O$6:$O$49,"UAE",Raw_Stripe!$C$6:$C$49,"&gt;="&amp;(TODAY()-60),Raw_Stripe!$C$6:$C$49,"&lt;"&amp;(TODAY()-30))</f>
        <v>0</v>
      </c>
      <c r="F10" s="51" t="n">
        <f aca="true">SUMIFS(Raw_Stripe!$L$6:$L$49,Raw_Stripe!$D$6:$D$49,B10,Raw_Stripe!$O$6:$O$49,"UAE",Raw_Stripe!$C$6:$C$49,"&lt;"&amp;(TODAY()-60))</f>
        <v>0</v>
      </c>
      <c r="G10" s="52" t="s">
        <v>109</v>
      </c>
      <c r="H10" s="51" t="n">
        <f aca="false">C10*Settings_FX!D$27</f>
        <v>0</v>
      </c>
      <c r="I10" s="53" t="n">
        <f aca="false">IFERROR(C10/$C$15,0)</f>
        <v>0</v>
      </c>
      <c r="J10" s="54" t="str">
        <f aca="false">IFERROR(minifs(Raw_Stripe!$C$6:$C$49,Raw_Stripe!$D$6:$D$49,B10,Raw_Stripe!$L$6:$L$49,"&gt;0"),"")</f>
        <v/>
      </c>
      <c r="K10" s="52" t="str">
        <f aca="false">IF(F10&gt;0,"⚠ 60+ days",IF(E10&gt;0,"⚠ 31-60 days","✓ Current"))</f>
        <v>✓ Current</v>
      </c>
      <c r="L10" s="1"/>
      <c r="M10" s="1"/>
      <c r="N10" s="1"/>
    </row>
    <row r="11" customFormat="false" ht="19.5" hidden="false" customHeight="true" outlineLevel="0" collapsed="false">
      <c r="A11" s="1"/>
      <c r="B11" s="45" t="s">
        <v>114</v>
      </c>
      <c r="C11" s="46" t="n">
        <f aca="false">SUMIFS(Raw_Stripe!$L$6:$L$49,Raw_Stripe!$D$6:$D$49,B11,Raw_Stripe!$O$6:$O$49,"UAE")</f>
        <v>0</v>
      </c>
      <c r="D11" s="46" t="n">
        <f aca="true">SUMIFS(Raw_Stripe!$L$6:$L$49,Raw_Stripe!$D$6:$D$49,B11,Raw_Stripe!$O$6:$O$49,"UAE",Raw_Stripe!$C$6:$C$49,"&gt;="&amp;(TODAY()-30))</f>
        <v>0</v>
      </c>
      <c r="E11" s="46" t="n">
        <f aca="true">SUMIFS(Raw_Stripe!$L$6:$L$49,Raw_Stripe!$D$6:$D$49,B11,Raw_Stripe!$O$6:$O$49,"UAE",Raw_Stripe!$C$6:$C$49,"&gt;="&amp;(TODAY()-60),Raw_Stripe!$C$6:$C$49,"&lt;"&amp;(TODAY()-30))</f>
        <v>0</v>
      </c>
      <c r="F11" s="46" t="n">
        <f aca="true">SUMIFS(Raw_Stripe!$L$6:$L$49,Raw_Stripe!$D$6:$D$49,B11,Raw_Stripe!$O$6:$O$49,"UAE",Raw_Stripe!$C$6:$C$49,"&lt;"&amp;(TODAY()-60))</f>
        <v>0</v>
      </c>
      <c r="G11" s="47" t="s">
        <v>109</v>
      </c>
      <c r="H11" s="46" t="n">
        <f aca="false">C11*Settings_FX!D$27</f>
        <v>0</v>
      </c>
      <c r="I11" s="48" t="n">
        <f aca="false">IFERROR(C11/$C$15,0)</f>
        <v>0</v>
      </c>
      <c r="J11" s="49" t="str">
        <f aca="false">IFERROR(minifs(Raw_Stripe!$C$6:$C$49,Raw_Stripe!$D$6:$D$49,B11,Raw_Stripe!$L$6:$L$49,"&gt;0"),"")</f>
        <v/>
      </c>
      <c r="K11" s="47" t="str">
        <f aca="false">IF(F11&gt;0,"⚠ 60+ days",IF(E11&gt;0,"⚠ 31-60 days","✓ Current"))</f>
        <v>✓ Current</v>
      </c>
      <c r="L11" s="1"/>
      <c r="M11" s="1"/>
      <c r="N11" s="1"/>
    </row>
    <row r="12" customFormat="false" ht="19.5" hidden="false" customHeight="true" outlineLevel="0" collapsed="false">
      <c r="A12" s="1"/>
      <c r="B12" s="50" t="s">
        <v>115</v>
      </c>
      <c r="C12" s="51" t="n">
        <f aca="false">SUMIFS(Raw_Stripe!$L$6:$L$49,Raw_Stripe!$D$6:$D$49,B12,Raw_Stripe!$O$6:$O$49,"UAE")</f>
        <v>6800</v>
      </c>
      <c r="D12" s="51" t="n">
        <f aca="true">SUMIFS(Raw_Stripe!$L$6:$L$49,Raw_Stripe!$D$6:$D$49,B12,Raw_Stripe!$O$6:$O$49,"UAE",Raw_Stripe!$C$6:$C$49,"&gt;="&amp;(TODAY()-30))</f>
        <v>0</v>
      </c>
      <c r="E12" s="51" t="n">
        <f aca="true">SUMIFS(Raw_Stripe!$L$6:$L$49,Raw_Stripe!$D$6:$D$49,B12,Raw_Stripe!$O$6:$O$49,"UAE",Raw_Stripe!$C$6:$C$49,"&gt;="&amp;(TODAY()-60),Raw_Stripe!$C$6:$C$49,"&lt;"&amp;(TODAY()-30))</f>
        <v>0</v>
      </c>
      <c r="F12" s="51" t="n">
        <f aca="true">SUMIFS(Raw_Stripe!$L$6:$L$49,Raw_Stripe!$D$6:$D$49,B12,Raw_Stripe!$O$6:$O$49,"UAE",Raw_Stripe!$C$6:$C$49,"&lt;"&amp;(TODAY()-60))</f>
        <v>6800</v>
      </c>
      <c r="G12" s="52" t="s">
        <v>109</v>
      </c>
      <c r="H12" s="51" t="n">
        <f aca="false">C12*Settings_FX!D$27</f>
        <v>1851.64</v>
      </c>
      <c r="I12" s="53" t="n">
        <f aca="false">IFERROR(C12/$C$15,0)</f>
        <v>0.181070178007962</v>
      </c>
      <c r="J12" s="54" t="str">
        <f aca="false">IFERROR(minifs(Raw_Stripe!$C$6:$C$49,Raw_Stripe!$D$6:$D$49,B12,Raw_Stripe!$L$6:$L$49,"&gt;0"),"")</f>
        <v/>
      </c>
      <c r="K12" s="52" t="str">
        <f aca="false">IF(F12&gt;0,"⚠ 60+ days",IF(E12&gt;0,"⚠ 31-60 days","✓ Current"))</f>
        <v>⚠ 60+ days</v>
      </c>
      <c r="L12" s="1"/>
      <c r="M12" s="1"/>
      <c r="N12" s="1"/>
    </row>
    <row r="13" customFormat="false" ht="19.5" hidden="false" customHeight="true" outlineLevel="0" collapsed="false">
      <c r="A13" s="1"/>
      <c r="B13" s="45" t="s">
        <v>116</v>
      </c>
      <c r="C13" s="46" t="n">
        <f aca="false">SUMIFS(Raw_Stripe!$L$6:$L$49,Raw_Stripe!$D$6:$D$49,B13,Raw_Stripe!$O$6:$O$49,"UAE")</f>
        <v>0</v>
      </c>
      <c r="D13" s="46" t="n">
        <f aca="true">SUMIFS(Raw_Stripe!$L$6:$L$49,Raw_Stripe!$D$6:$D$49,B13,Raw_Stripe!$O$6:$O$49,"UAE",Raw_Stripe!$C$6:$C$49,"&gt;="&amp;(TODAY()-30))</f>
        <v>0</v>
      </c>
      <c r="E13" s="46" t="n">
        <f aca="true">SUMIFS(Raw_Stripe!$L$6:$L$49,Raw_Stripe!$D$6:$D$49,B13,Raw_Stripe!$O$6:$O$49,"UAE",Raw_Stripe!$C$6:$C$49,"&gt;="&amp;(TODAY()-60),Raw_Stripe!$C$6:$C$49,"&lt;"&amp;(TODAY()-30))</f>
        <v>0</v>
      </c>
      <c r="F13" s="46" t="n">
        <f aca="true">SUMIFS(Raw_Stripe!$L$6:$L$49,Raw_Stripe!$D$6:$D$49,B13,Raw_Stripe!$O$6:$O$49,"UAE",Raw_Stripe!$C$6:$C$49,"&lt;"&amp;(TODAY()-60))</f>
        <v>0</v>
      </c>
      <c r="G13" s="47" t="s">
        <v>112</v>
      </c>
      <c r="H13" s="46" t="n">
        <f aca="false">C13</f>
        <v>0</v>
      </c>
      <c r="I13" s="48" t="n">
        <f aca="false">IFERROR(C13/$C$15,0)</f>
        <v>0</v>
      </c>
      <c r="J13" s="49" t="str">
        <f aca="false">IFERROR(minifs(Raw_Stripe!$C$6:$C$49,Raw_Stripe!$D$6:$D$49,B13,Raw_Stripe!$L$6:$L$49,"&gt;0"),"")</f>
        <v/>
      </c>
      <c r="K13" s="47" t="str">
        <f aca="false">IF(F13&gt;0,"⚠ 60+ days",IF(E13&gt;0,"⚠ 31-60 days","✓ Current"))</f>
        <v>✓ Current</v>
      </c>
      <c r="L13" s="1"/>
      <c r="M13" s="1"/>
      <c r="N13" s="1"/>
    </row>
    <row r="14" customFormat="false" ht="19.5" hidden="false" customHeight="true" outlineLevel="0" collapsed="false">
      <c r="A14" s="1"/>
      <c r="B14" s="50" t="s">
        <v>117</v>
      </c>
      <c r="C14" s="51" t="n">
        <f aca="false">SUMIFS(Raw_Stripe!$L$6:$L$49,Raw_Stripe!$D$6:$D$49,B14,Raw_Stripe!$O$6:$O$49,"UAE")</f>
        <v>6500</v>
      </c>
      <c r="D14" s="51" t="n">
        <f aca="true">SUMIFS(Raw_Stripe!$L$6:$L$49,Raw_Stripe!$D$6:$D$49,B14,Raw_Stripe!$O$6:$O$49,"UAE",Raw_Stripe!$C$6:$C$49,"&gt;="&amp;(TODAY()-30))</f>
        <v>0</v>
      </c>
      <c r="E14" s="51" t="n">
        <f aca="true">SUMIFS(Raw_Stripe!$L$6:$L$49,Raw_Stripe!$D$6:$D$49,B14,Raw_Stripe!$O$6:$O$49,"UAE",Raw_Stripe!$C$6:$C$49,"&gt;="&amp;(TODAY()-60),Raw_Stripe!$C$6:$C$49,"&lt;"&amp;(TODAY()-30))</f>
        <v>0</v>
      </c>
      <c r="F14" s="51" t="n">
        <f aca="true">SUMIFS(Raw_Stripe!$L$6:$L$49,Raw_Stripe!$D$6:$D$49,B14,Raw_Stripe!$O$6:$O$49,"UAE",Raw_Stripe!$C$6:$C$49,"&lt;"&amp;(TODAY()-60))</f>
        <v>6500</v>
      </c>
      <c r="G14" s="52" t="s">
        <v>112</v>
      </c>
      <c r="H14" s="51" t="n">
        <f aca="false">C14</f>
        <v>6500</v>
      </c>
      <c r="I14" s="53" t="n">
        <f aca="false">IFERROR(C14/$C$15,0)</f>
        <v>0.173081787801728</v>
      </c>
      <c r="J14" s="54" t="str">
        <f aca="false">IFERROR(minifs(Raw_Stripe!$C$6:$C$49,Raw_Stripe!$D$6:$D$49,B14,Raw_Stripe!$L$6:$L$49,"&gt;0"),"")</f>
        <v/>
      </c>
      <c r="K14" s="52" t="str">
        <f aca="false">IF(F14&gt;0,"⚠ 60+ days",IF(E14&gt;0,"⚠ 31-60 days","✓ Current"))</f>
        <v>⚠ 60+ days</v>
      </c>
      <c r="L14" s="1"/>
      <c r="M14" s="1"/>
      <c r="N14" s="1"/>
    </row>
    <row r="15" customFormat="false" ht="24" hidden="false" customHeight="true" outlineLevel="0" collapsed="false">
      <c r="A15" s="1"/>
      <c r="B15" s="40" t="s">
        <v>118</v>
      </c>
      <c r="C15" s="55" t="n">
        <f aca="false">SUM(C7:C14)</f>
        <v>37554.5</v>
      </c>
      <c r="D15" s="55" t="n">
        <f aca="false">SUM(D7:D14)</f>
        <v>0</v>
      </c>
      <c r="E15" s="55" t="n">
        <f aca="false">SUM(E7:E14)</f>
        <v>0</v>
      </c>
      <c r="F15" s="55" t="n">
        <f aca="false">SUM(F7:F14)</f>
        <v>37554.5</v>
      </c>
      <c r="G15" s="56"/>
      <c r="H15" s="55" t="n">
        <f aca="false">SUM(H7:H14)</f>
        <v>21869.29035</v>
      </c>
      <c r="I15" s="56"/>
      <c r="J15" s="56"/>
      <c r="K15" s="56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25.5" hidden="false" customHeight="true" outlineLevel="0" collapsed="false">
      <c r="A18" s="1"/>
      <c r="B18" s="5" t="s">
        <v>119</v>
      </c>
      <c r="C18" s="5"/>
      <c r="D18" s="5"/>
      <c r="E18" s="5"/>
      <c r="F18" s="5"/>
      <c r="G18" s="5"/>
      <c r="H18" s="5"/>
      <c r="I18" s="5"/>
      <c r="J18" s="5"/>
      <c r="K18" s="5"/>
      <c r="L18" s="1"/>
      <c r="M18" s="1"/>
      <c r="N18" s="1"/>
    </row>
    <row r="19" customFormat="false" ht="31.5" hidden="false" customHeight="true" outlineLevel="0" collapsed="false">
      <c r="A19" s="1"/>
      <c r="B19" s="23" t="s">
        <v>98</v>
      </c>
      <c r="C19" s="23" t="s">
        <v>99</v>
      </c>
      <c r="D19" s="23" t="s">
        <v>100</v>
      </c>
      <c r="E19" s="23" t="s">
        <v>101</v>
      </c>
      <c r="F19" s="23" t="s">
        <v>102</v>
      </c>
      <c r="G19" s="23" t="s">
        <v>103</v>
      </c>
      <c r="H19" s="23" t="s">
        <v>104</v>
      </c>
      <c r="I19" s="23" t="s">
        <v>105</v>
      </c>
      <c r="J19" s="23" t="s">
        <v>106</v>
      </c>
      <c r="K19" s="23" t="s">
        <v>107</v>
      </c>
      <c r="L19" s="1"/>
      <c r="M19" s="1"/>
      <c r="N19" s="1"/>
    </row>
    <row r="20" customFormat="false" ht="19.5" hidden="false" customHeight="true" outlineLevel="0" collapsed="false">
      <c r="A20" s="1"/>
      <c r="B20" s="45" t="s">
        <v>120</v>
      </c>
      <c r="C20" s="46" t="n">
        <f aca="false">SUMIFS(Raw_Stripe!$L$6:$L$49,Raw_Stripe!$D$6:$D$49,B20,Raw_Stripe!$O$6:$O$49,"SG")</f>
        <v>4200</v>
      </c>
      <c r="D20" s="46" t="n">
        <f aca="true">SUMIFS(Raw_Stripe!$L$6:$L$49,Raw_Stripe!$D$6:$D$49,B20,Raw_Stripe!$O$6:$O$49,"SG",Raw_Stripe!$C$6:$C$49,"&gt;="&amp;(TODAY()-30))</f>
        <v>0</v>
      </c>
      <c r="E20" s="46" t="n">
        <f aca="true">SUMIFS(Raw_Stripe!$L$6:$L$49,Raw_Stripe!$D$6:$D$49,B20,Raw_Stripe!$O$6:$O$49,"SG",Raw_Stripe!$C$6:$C$49,"&gt;="&amp;(TODAY()-60),Raw_Stripe!$C$6:$C$49,"&lt;"&amp;(TODAY()-30))</f>
        <v>0</v>
      </c>
      <c r="F20" s="46" t="n">
        <f aca="true">SUMIFS(Raw_Stripe!$L$6:$L$49,Raw_Stripe!$D$6:$D$49,B20,Raw_Stripe!$O$6:$O$49,"SG",Raw_Stripe!$C$6:$C$49,"&lt;"&amp;(TODAY()-60))</f>
        <v>4200</v>
      </c>
      <c r="G20" s="47" t="s">
        <v>121</v>
      </c>
      <c r="H20" s="46" t="n">
        <f aca="false">C20*Settings_FX!E$27</f>
        <v>3137.4</v>
      </c>
      <c r="I20" s="48" t="n">
        <f aca="false">IFERROR(C20/$C$27,0)</f>
        <v>0.119682328904137</v>
      </c>
      <c r="J20" s="49" t="str">
        <f aca="false">IFERROR(minifs(Raw_Stripe!$C$6:$C$49,Raw_Stripe!$D$6:$D$49,B20,Raw_Stripe!$L$6:$L$49,"&gt;0"),"")</f>
        <v/>
      </c>
      <c r="K20" s="47" t="str">
        <f aca="false">IF(F20&gt;0,"⚠ 60+ days",IF(E20&gt;0,"⚠ 31-60 days","✓ Current"))</f>
        <v>⚠ 60+ days</v>
      </c>
      <c r="L20" s="1"/>
      <c r="M20" s="1"/>
      <c r="N20" s="1"/>
    </row>
    <row r="21" customFormat="false" ht="19.5" hidden="false" customHeight="true" outlineLevel="0" collapsed="false">
      <c r="A21" s="1"/>
      <c r="B21" s="50" t="s">
        <v>122</v>
      </c>
      <c r="C21" s="51" t="n">
        <f aca="false">SUMIFS(Raw_Stripe!$L$6:$L$49,Raw_Stripe!$D$6:$D$49,B21,Raw_Stripe!$O$6:$O$49,"SG")</f>
        <v>0</v>
      </c>
      <c r="D21" s="51" t="n">
        <f aca="true">SUMIFS(Raw_Stripe!$L$6:$L$49,Raw_Stripe!$D$6:$D$49,B21,Raw_Stripe!$O$6:$O$49,"SG",Raw_Stripe!$C$6:$C$49,"&gt;="&amp;(TODAY()-30))</f>
        <v>0</v>
      </c>
      <c r="E21" s="51" t="n">
        <f aca="true">SUMIFS(Raw_Stripe!$L$6:$L$49,Raw_Stripe!$D$6:$D$49,B21,Raw_Stripe!$O$6:$O$49,"SG",Raw_Stripe!$C$6:$C$49,"&gt;="&amp;(TODAY()-60),Raw_Stripe!$C$6:$C$49,"&lt;"&amp;(TODAY()-30))</f>
        <v>0</v>
      </c>
      <c r="F21" s="51" t="n">
        <f aca="true">SUMIFS(Raw_Stripe!$L$6:$L$49,Raw_Stripe!$D$6:$D$49,B21,Raw_Stripe!$O$6:$O$49,"SG",Raw_Stripe!$C$6:$C$49,"&lt;"&amp;(TODAY()-60))</f>
        <v>0</v>
      </c>
      <c r="G21" s="52" t="s">
        <v>112</v>
      </c>
      <c r="H21" s="51" t="n">
        <f aca="false">C21</f>
        <v>0</v>
      </c>
      <c r="I21" s="53" t="n">
        <f aca="false">IFERROR(C21/$C$27,0)</f>
        <v>0</v>
      </c>
      <c r="J21" s="54" t="str">
        <f aca="false">IFERROR(minifs(Raw_Stripe!$C$6:$C$49,Raw_Stripe!$D$6:$D$49,B21,Raw_Stripe!$L$6:$L$49,"&gt;0"),"")</f>
        <v/>
      </c>
      <c r="K21" s="52" t="str">
        <f aca="false">IF(F21&gt;0,"⚠ 60+ days",IF(E21&gt;0,"⚠ 31-60 days","✓ Current"))</f>
        <v>✓ Current</v>
      </c>
      <c r="L21" s="1"/>
      <c r="M21" s="1"/>
      <c r="N21" s="1"/>
    </row>
    <row r="22" customFormat="false" ht="19.5" hidden="false" customHeight="true" outlineLevel="0" collapsed="false">
      <c r="A22" s="1"/>
      <c r="B22" s="45" t="s">
        <v>123</v>
      </c>
      <c r="C22" s="46" t="n">
        <f aca="false">SUMIFS(Raw_Stripe!$L$6:$L$49,Raw_Stripe!$D$6:$D$49,B22,Raw_Stripe!$O$6:$O$49,"SG")</f>
        <v>1800</v>
      </c>
      <c r="D22" s="46" t="n">
        <f aca="true">SUMIFS(Raw_Stripe!$L$6:$L$49,Raw_Stripe!$D$6:$D$49,B22,Raw_Stripe!$O$6:$O$49,"SG",Raw_Stripe!$C$6:$C$49,"&gt;="&amp;(TODAY()-30))</f>
        <v>0</v>
      </c>
      <c r="E22" s="46" t="n">
        <f aca="true">SUMIFS(Raw_Stripe!$L$6:$L$49,Raw_Stripe!$D$6:$D$49,B22,Raw_Stripe!$O$6:$O$49,"SG",Raw_Stripe!$C$6:$C$49,"&gt;="&amp;(TODAY()-60),Raw_Stripe!$C$6:$C$49,"&lt;"&amp;(TODAY()-30))</f>
        <v>0</v>
      </c>
      <c r="F22" s="46" t="n">
        <f aca="true">SUMIFS(Raw_Stripe!$L$6:$L$49,Raw_Stripe!$D$6:$D$49,B22,Raw_Stripe!$O$6:$O$49,"SG",Raw_Stripe!$C$6:$C$49,"&lt;"&amp;(TODAY()-60))</f>
        <v>1800</v>
      </c>
      <c r="G22" s="47" t="s">
        <v>121</v>
      </c>
      <c r="H22" s="46" t="n">
        <f aca="false">C22*Settings_FX!E$27</f>
        <v>1344.6</v>
      </c>
      <c r="I22" s="48" t="n">
        <f aca="false">IFERROR(C22/$C$27,0)</f>
        <v>0.0512924266732017</v>
      </c>
      <c r="J22" s="49" t="str">
        <f aca="false">IFERROR(minifs(Raw_Stripe!$C$6:$C$49,Raw_Stripe!$D$6:$D$49,B22,Raw_Stripe!$L$6:$L$49,"&gt;0"),"")</f>
        <v/>
      </c>
      <c r="K22" s="47" t="str">
        <f aca="false">IF(F22&gt;0,"⚠ 60+ days",IF(E22&gt;0,"⚠ 31-60 days","✓ Current"))</f>
        <v>⚠ 60+ days</v>
      </c>
      <c r="L22" s="1"/>
      <c r="M22" s="1"/>
      <c r="N22" s="1"/>
    </row>
    <row r="23" customFormat="false" ht="19.5" hidden="false" customHeight="true" outlineLevel="0" collapsed="false">
      <c r="A23" s="1"/>
      <c r="B23" s="50" t="s">
        <v>124</v>
      </c>
      <c r="C23" s="51" t="n">
        <f aca="false">SUMIFS(Raw_Stripe!$L$6:$L$49,Raw_Stripe!$D$6:$D$49,B23,Raw_Stripe!$O$6:$O$49,"SG")</f>
        <v>0</v>
      </c>
      <c r="D23" s="51" t="n">
        <f aca="true">SUMIFS(Raw_Stripe!$L$6:$L$49,Raw_Stripe!$D$6:$D$49,B23,Raw_Stripe!$O$6:$O$49,"SG",Raw_Stripe!$C$6:$C$49,"&gt;="&amp;(TODAY()-30))</f>
        <v>0</v>
      </c>
      <c r="E23" s="51" t="n">
        <f aca="true">SUMIFS(Raw_Stripe!$L$6:$L$49,Raw_Stripe!$D$6:$D$49,B23,Raw_Stripe!$O$6:$O$49,"SG",Raw_Stripe!$C$6:$C$49,"&gt;="&amp;(TODAY()-60),Raw_Stripe!$C$6:$C$49,"&lt;"&amp;(TODAY()-30))</f>
        <v>0</v>
      </c>
      <c r="F23" s="51" t="n">
        <f aca="true">SUMIFS(Raw_Stripe!$L$6:$L$49,Raw_Stripe!$D$6:$D$49,B23,Raw_Stripe!$O$6:$O$49,"SG",Raw_Stripe!$C$6:$C$49,"&lt;"&amp;(TODAY()-60))</f>
        <v>0</v>
      </c>
      <c r="G23" s="52" t="s">
        <v>121</v>
      </c>
      <c r="H23" s="51" t="n">
        <f aca="false">C23*Settings_FX!E$27</f>
        <v>0</v>
      </c>
      <c r="I23" s="53" t="n">
        <f aca="false">IFERROR(C23/$C$27,0)</f>
        <v>0</v>
      </c>
      <c r="J23" s="54" t="str">
        <f aca="false">IFERROR(minifs(Raw_Stripe!$C$6:$C$49,Raw_Stripe!$D$6:$D$49,B23,Raw_Stripe!$L$6:$L$49,"&gt;0"),"")</f>
        <v/>
      </c>
      <c r="K23" s="52" t="str">
        <f aca="false">IF(F23&gt;0,"⚠ 60+ days",IF(E23&gt;0,"⚠ 31-60 days","✓ Current"))</f>
        <v>✓ Current</v>
      </c>
      <c r="L23" s="1"/>
      <c r="M23" s="1"/>
      <c r="N23" s="1"/>
    </row>
    <row r="24" customFormat="false" ht="19.5" hidden="false" customHeight="true" outlineLevel="0" collapsed="false">
      <c r="A24" s="1"/>
      <c r="B24" s="45" t="s">
        <v>125</v>
      </c>
      <c r="C24" s="46" t="n">
        <f aca="false">SUMIFS(Raw_Stripe!$L$6:$L$49,Raw_Stripe!$D$6:$D$49,B24,Raw_Stripe!$O$6:$O$49,"SG")</f>
        <v>24000</v>
      </c>
      <c r="D24" s="46" t="n">
        <f aca="true">SUMIFS(Raw_Stripe!$L$6:$L$49,Raw_Stripe!$D$6:$D$49,B24,Raw_Stripe!$O$6:$O$49,"SG",Raw_Stripe!$C$6:$C$49,"&gt;="&amp;(TODAY()-30))</f>
        <v>0</v>
      </c>
      <c r="E24" s="46" t="n">
        <f aca="true">SUMIFS(Raw_Stripe!$L$6:$L$49,Raw_Stripe!$D$6:$D$49,B24,Raw_Stripe!$O$6:$O$49,"SG",Raw_Stripe!$C$6:$C$49,"&gt;="&amp;(TODAY()-60),Raw_Stripe!$C$6:$C$49,"&lt;"&amp;(TODAY()-30))</f>
        <v>0</v>
      </c>
      <c r="F24" s="46" t="n">
        <f aca="true">SUMIFS(Raw_Stripe!$L$6:$L$49,Raw_Stripe!$D$6:$D$49,B24,Raw_Stripe!$O$6:$O$49,"SG",Raw_Stripe!$C$6:$C$49,"&lt;"&amp;(TODAY()-60))</f>
        <v>24000</v>
      </c>
      <c r="G24" s="47" t="s">
        <v>112</v>
      </c>
      <c r="H24" s="46" t="n">
        <f aca="false">C24</f>
        <v>24000</v>
      </c>
      <c r="I24" s="48" t="n">
        <f aca="false">IFERROR(C24/$C$27,0)</f>
        <v>0.683899022309356</v>
      </c>
      <c r="J24" s="49" t="str">
        <f aca="false">IFERROR(minifs(Raw_Stripe!$C$6:$C$49,Raw_Stripe!$D$6:$D$49,B24,Raw_Stripe!$L$6:$L$49,"&gt;0"),"")</f>
        <v/>
      </c>
      <c r="K24" s="47" t="str">
        <f aca="false">IF(F24&gt;0,"⚠ 60+ days",IF(E24&gt;0,"⚠ 31-60 days","✓ Current"))</f>
        <v>⚠ 60+ days</v>
      </c>
      <c r="L24" s="1"/>
      <c r="M24" s="1"/>
      <c r="N24" s="1"/>
    </row>
    <row r="25" customFormat="false" ht="19.5" hidden="false" customHeight="true" outlineLevel="0" collapsed="false">
      <c r="A25" s="1"/>
      <c r="B25" s="50" t="s">
        <v>126</v>
      </c>
      <c r="C25" s="51" t="n">
        <f aca="false">SUMIFS(Raw_Stripe!$L$6:$L$49,Raw_Stripe!$D$6:$D$49,B25,Raw_Stripe!$O$6:$O$49,"SG")</f>
        <v>5092.9</v>
      </c>
      <c r="D25" s="51" t="n">
        <f aca="true">SUMIFS(Raw_Stripe!$L$6:$L$49,Raw_Stripe!$D$6:$D$49,B25,Raw_Stripe!$O$6:$O$49,"SG",Raw_Stripe!$C$6:$C$49,"&gt;="&amp;(TODAY()-30))</f>
        <v>0</v>
      </c>
      <c r="E25" s="51" t="n">
        <f aca="true">SUMIFS(Raw_Stripe!$L$6:$L$49,Raw_Stripe!$D$6:$D$49,B25,Raw_Stripe!$O$6:$O$49,"SG",Raw_Stripe!$C$6:$C$49,"&gt;="&amp;(TODAY()-60),Raw_Stripe!$C$6:$C$49,"&lt;"&amp;(TODAY()-30))</f>
        <v>0</v>
      </c>
      <c r="F25" s="51" t="n">
        <f aca="true">SUMIFS(Raw_Stripe!$L$6:$L$49,Raw_Stripe!$D$6:$D$49,B25,Raw_Stripe!$O$6:$O$49,"SG",Raw_Stripe!$C$6:$C$49,"&lt;"&amp;(TODAY()-60))</f>
        <v>5092.9</v>
      </c>
      <c r="G25" s="52" t="s">
        <v>121</v>
      </c>
      <c r="H25" s="51" t="n">
        <f aca="false">C25*Settings_FX!E$27</f>
        <v>3804.3963</v>
      </c>
      <c r="I25" s="53" t="n">
        <f aca="false">IFERROR(C25/$C$27,0)</f>
        <v>0.145126222113305</v>
      </c>
      <c r="J25" s="54" t="str">
        <f aca="false">IFERROR(minifs(Raw_Stripe!$C$6:$C$49,Raw_Stripe!$D$6:$D$49,B25,Raw_Stripe!$L$6:$L$49,"&gt;0"),"")</f>
        <v/>
      </c>
      <c r="K25" s="52" t="str">
        <f aca="false">IF(F25&gt;0,"⚠ 60+ days",IF(E25&gt;0,"⚠ 31-60 days","✓ Current"))</f>
        <v>⚠ 60+ days</v>
      </c>
      <c r="L25" s="1"/>
      <c r="M25" s="1"/>
      <c r="N25" s="1"/>
    </row>
    <row r="26" customFormat="false" ht="19.5" hidden="false" customHeight="true" outlineLevel="0" collapsed="false">
      <c r="A26" s="1"/>
      <c r="B26" s="45" t="s">
        <v>127</v>
      </c>
      <c r="C26" s="46" t="n">
        <f aca="false">SUMIFS(Raw_Stripe!$L$6:$L$49,Raw_Stripe!$D$6:$D$49,B26,Raw_Stripe!$O$6:$O$49,"SG")</f>
        <v>0</v>
      </c>
      <c r="D26" s="46" t="n">
        <f aca="true">SUMIFS(Raw_Stripe!$L$6:$L$49,Raw_Stripe!$D$6:$D$49,B26,Raw_Stripe!$O$6:$O$49,"SG",Raw_Stripe!$C$6:$C$49,"&gt;="&amp;(TODAY()-30))</f>
        <v>0</v>
      </c>
      <c r="E26" s="46" t="n">
        <f aca="true">SUMIFS(Raw_Stripe!$L$6:$L$49,Raw_Stripe!$D$6:$D$49,B26,Raw_Stripe!$O$6:$O$49,"SG",Raw_Stripe!$C$6:$C$49,"&gt;="&amp;(TODAY()-60),Raw_Stripe!$C$6:$C$49,"&lt;"&amp;(TODAY()-30))</f>
        <v>0</v>
      </c>
      <c r="F26" s="46" t="n">
        <f aca="true">SUMIFS(Raw_Stripe!$L$6:$L$49,Raw_Stripe!$D$6:$D$49,B26,Raw_Stripe!$O$6:$O$49,"SG",Raw_Stripe!$C$6:$C$49,"&lt;"&amp;(TODAY()-60))</f>
        <v>0</v>
      </c>
      <c r="G26" s="47" t="s">
        <v>112</v>
      </c>
      <c r="H26" s="46" t="n">
        <f aca="false">C26</f>
        <v>0</v>
      </c>
      <c r="I26" s="48" t="n">
        <f aca="false">IFERROR(C26/$C$27,0)</f>
        <v>0</v>
      </c>
      <c r="J26" s="49" t="str">
        <f aca="false">IFERROR(minifs(Raw_Stripe!$C$6:$C$49,Raw_Stripe!$D$6:$D$49,B26,Raw_Stripe!$L$6:$L$49,"&gt;0"),"")</f>
        <v/>
      </c>
      <c r="K26" s="47" t="str">
        <f aca="false">IF(F26&gt;0,"⚠ 60+ days",IF(E26&gt;0,"⚠ 31-60 days","✓ Current"))</f>
        <v>✓ Current</v>
      </c>
      <c r="L26" s="1"/>
      <c r="M26" s="1"/>
      <c r="N26" s="1"/>
    </row>
    <row r="27" customFormat="false" ht="24" hidden="false" customHeight="true" outlineLevel="0" collapsed="false">
      <c r="A27" s="1"/>
      <c r="B27" s="40" t="s">
        <v>128</v>
      </c>
      <c r="C27" s="55" t="n">
        <f aca="false">SUM(C20:C26)</f>
        <v>35092.9</v>
      </c>
      <c r="D27" s="55" t="n">
        <f aca="false">SUM(D20:D26)</f>
        <v>0</v>
      </c>
      <c r="E27" s="55" t="n">
        <f aca="false">SUM(E20:E26)</f>
        <v>0</v>
      </c>
      <c r="F27" s="55" t="n">
        <f aca="false">SUM(F20:F26)</f>
        <v>35092.9</v>
      </c>
      <c r="G27" s="56"/>
      <c r="H27" s="55" t="n">
        <f aca="false">SUM(H20:H26)</f>
        <v>32286.3963</v>
      </c>
      <c r="I27" s="56"/>
      <c r="J27" s="56"/>
      <c r="K27" s="56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25.5" hidden="false" customHeight="true" outlineLevel="0" collapsed="false">
      <c r="A29" s="1"/>
      <c r="B29" s="12" t="s">
        <v>129</v>
      </c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</row>
    <row r="30" customFormat="false" ht="21.75" hidden="false" customHeight="true" outlineLevel="0" collapsed="false">
      <c r="A30" s="1"/>
      <c r="B30" s="57" t="s">
        <v>130</v>
      </c>
      <c r="C30" s="58" t="n">
        <f aca="false">H15</f>
        <v>21869.29035</v>
      </c>
      <c r="D30" s="58"/>
      <c r="E30" s="58"/>
      <c r="F30" s="59"/>
      <c r="G30" s="59"/>
      <c r="H30" s="59"/>
      <c r="I30" s="59"/>
      <c r="J30" s="59"/>
      <c r="K30" s="59"/>
      <c r="L30" s="1"/>
      <c r="M30" s="1"/>
      <c r="N30" s="1"/>
    </row>
    <row r="31" customFormat="false" ht="21.75" hidden="false" customHeight="true" outlineLevel="0" collapsed="false">
      <c r="A31" s="1"/>
      <c r="B31" s="57" t="s">
        <v>131</v>
      </c>
      <c r="C31" s="58" t="n">
        <f aca="false">H27</f>
        <v>32286.3963</v>
      </c>
      <c r="D31" s="58"/>
      <c r="E31" s="58"/>
      <c r="F31" s="59"/>
      <c r="G31" s="59"/>
      <c r="H31" s="59"/>
      <c r="I31" s="59"/>
      <c r="J31" s="59"/>
      <c r="K31" s="59"/>
      <c r="L31" s="1"/>
      <c r="M31" s="1"/>
      <c r="N31" s="1"/>
    </row>
    <row r="32" customFormat="false" ht="21.75" hidden="false" customHeight="true" outlineLevel="0" collapsed="false">
      <c r="A32" s="1"/>
      <c r="B32" s="57" t="s">
        <v>132</v>
      </c>
      <c r="C32" s="58" t="n">
        <f aca="false">H15+H27</f>
        <v>54155.68665</v>
      </c>
      <c r="D32" s="58"/>
      <c r="E32" s="58"/>
      <c r="F32" s="59"/>
      <c r="G32" s="59"/>
      <c r="H32" s="59"/>
      <c r="I32" s="59"/>
      <c r="J32" s="59"/>
      <c r="K32" s="59"/>
      <c r="L32" s="1"/>
      <c r="M32" s="1"/>
      <c r="N32" s="1"/>
    </row>
    <row r="33" customFormat="false" ht="21.75" hidden="false" customHeight="true" outlineLevel="0" collapsed="false">
      <c r="A33" s="1"/>
      <c r="B33" s="57" t="s">
        <v>133</v>
      </c>
      <c r="C33" s="60" t="n">
        <f aca="false">COUNTIF(K6:K14,"*60+*")+COUNTIF(K19:K26,"*60+*")</f>
        <v>9</v>
      </c>
      <c r="D33" s="60"/>
      <c r="E33" s="60"/>
      <c r="F33" s="59"/>
      <c r="G33" s="59"/>
      <c r="H33" s="59"/>
      <c r="I33" s="59"/>
      <c r="J33" s="59"/>
      <c r="K33" s="59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9">
    <mergeCell ref="B2:K2"/>
    <mergeCell ref="B3:K3"/>
    <mergeCell ref="B5:K5"/>
    <mergeCell ref="B18:K18"/>
    <mergeCell ref="B29:K29"/>
    <mergeCell ref="C30:E30"/>
    <mergeCell ref="C31:E31"/>
    <mergeCell ref="C32:E32"/>
    <mergeCell ref="C33:E33"/>
  </mergeCells>
  <conditionalFormatting sqref="F7:F14">
    <cfRule type="cellIs" priority="2" operator="greaterThan" aboveAverage="0" equalAverage="0" bottom="0" percent="0" rank="0" text="" dxfId="1">
      <formula>0</formula>
    </cfRule>
  </conditionalFormatting>
  <conditionalFormatting sqref="E7:E14">
    <cfRule type="cellIs" priority="3" operator="greaterThan" aboveAverage="0" equalAverage="0" bottom="0" percent="0" rank="0" text="" dxfId="2">
      <formula>0</formula>
    </cfRule>
  </conditionalFormatting>
  <conditionalFormatting sqref="F20:F26">
    <cfRule type="cellIs" priority="4" operator="greaterThan" aboveAverage="0" equalAverage="0" bottom="0" percent="0" rank="0" text="" dxfId="1">
      <formula>0</formula>
    </cfRule>
  </conditionalFormatting>
  <conditionalFormatting sqref="E20:E26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N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9" min="4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134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135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5" t="s">
        <v>136</v>
      </c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</row>
    <row r="6" customFormat="false" ht="31.5" hidden="false" customHeight="true" outlineLevel="0" collapsed="false">
      <c r="A6" s="1"/>
      <c r="B6" s="23" t="s">
        <v>98</v>
      </c>
      <c r="C6" s="23" t="s">
        <v>137</v>
      </c>
      <c r="D6" s="23" t="s">
        <v>138</v>
      </c>
      <c r="E6" s="23" t="s">
        <v>139</v>
      </c>
      <c r="F6" s="23" t="s">
        <v>140</v>
      </c>
      <c r="G6" s="23" t="s">
        <v>141</v>
      </c>
      <c r="H6" s="23" t="s">
        <v>142</v>
      </c>
      <c r="I6" s="23" t="s">
        <v>143</v>
      </c>
      <c r="J6" s="23" t="s">
        <v>144</v>
      </c>
      <c r="K6" s="23" t="s">
        <v>145</v>
      </c>
      <c r="L6" s="1"/>
      <c r="M6" s="1"/>
      <c r="N6" s="1"/>
    </row>
    <row r="7" customFormat="false" ht="19.5" hidden="false" customHeight="true" outlineLevel="0" collapsed="false">
      <c r="A7" s="1"/>
      <c r="B7" s="61" t="s">
        <v>108</v>
      </c>
      <c r="C7" s="37" t="n">
        <f aca="false">SUMIFS(Raw_Xero_Invoices!$H$6:$H$26,Raw_Xero_Invoices!$D$6:$D$26,B7)</f>
        <v>5527.69</v>
      </c>
      <c r="D7" s="37" t="n">
        <f aca="false">SUMIFS(Raw_Xero_Invoices!$H$6:$H$26,Raw_Xero_Invoices!$D$6:$D$26,B7,Raw_Xero_Invoices!$M$6:$M$26,"Draft")</f>
        <v>0</v>
      </c>
      <c r="E7" s="37" t="n">
        <f aca="false">SUMIFS(Raw_Xero_Invoices!$H$6:$H$26,Raw_Xero_Invoices!$D$6:$D$26,B7,Raw_Xero_Invoices!$M$6:$M$26,"Unsent")</f>
        <v>0</v>
      </c>
      <c r="F7" s="37" t="n">
        <f aca="false">SUMIFS(Raw_Xero_Invoices!$H$6:$H$26,Raw_Xero_Invoices!$D$6:$D$26,B7,Raw_Xero_Invoices!$M$6:$M$26,"Awaiting Payment")</f>
        <v>1225.35</v>
      </c>
      <c r="G7" s="37" t="n">
        <f aca="false">SUMIFS(Raw_Xero_Invoices!$H$6:$H$26,Raw_Xero_Invoices!$D$6:$D$26,B7,Raw_Xero_Invoices!$M$6:$M$26,"Partial")</f>
        <v>1034.74</v>
      </c>
      <c r="H7" s="37" t="n">
        <f aca="false">SUMIFS(Raw_Xero_Invoices!$H$6:$H$26,Raw_Xero_Invoices!$D$6:$D$26,B7,Raw_Xero_Invoices!$M$6:$M$26,"Paid")</f>
        <v>3267.6</v>
      </c>
      <c r="I7" s="37" t="n">
        <f aca="false">SUMIFS(Raw_Xero_Invoices!$H$6:$H$26,Raw_Xero_Invoices!$D$6:$D$26,B7,Raw_Xero_Invoices!$M$6:$M$26,"Void")</f>
        <v>0</v>
      </c>
      <c r="J7" s="37" t="n">
        <f aca="false">D7+E7+F7+G7</f>
        <v>2260.09</v>
      </c>
      <c r="K7" s="62" t="n">
        <f aca="false">COUNTIFS(Raw_Xero_Invoices!$D$6:$D$26,B7)</f>
        <v>3</v>
      </c>
      <c r="L7" s="1"/>
      <c r="M7" s="1"/>
      <c r="N7" s="1"/>
    </row>
    <row r="8" customFormat="false" ht="19.5" hidden="false" customHeight="true" outlineLevel="0" collapsed="false">
      <c r="A8" s="1"/>
      <c r="B8" s="63" t="s">
        <v>110</v>
      </c>
      <c r="C8" s="39" t="n">
        <f aca="false">SUMIFS(Raw_Xero_Invoices!$H$6:$H$26,Raw_Xero_Invoices!$D$6:$D$26,B8)</f>
        <v>2178.4</v>
      </c>
      <c r="D8" s="39" t="n">
        <f aca="false">SUMIFS(Raw_Xero_Invoices!$H$6:$H$26,Raw_Xero_Invoices!$D$6:$D$26,B8,Raw_Xero_Invoices!$M$6:$M$26,"Draft")</f>
        <v>0</v>
      </c>
      <c r="E8" s="39" t="n">
        <f aca="false">SUMIFS(Raw_Xero_Invoices!$H$6:$H$26,Raw_Xero_Invoices!$D$6:$D$26,B8,Raw_Xero_Invoices!$M$6:$M$26,"Unsent")</f>
        <v>0</v>
      </c>
      <c r="F8" s="39" t="n">
        <f aca="false">SUMIFS(Raw_Xero_Invoices!$H$6:$H$26,Raw_Xero_Invoices!$D$6:$D$26,B8,Raw_Xero_Invoices!$M$6:$M$26,"Awaiting Payment")</f>
        <v>0</v>
      </c>
      <c r="G8" s="39" t="n">
        <f aca="false">SUMIFS(Raw_Xero_Invoices!$H$6:$H$26,Raw_Xero_Invoices!$D$6:$D$26,B8,Raw_Xero_Invoices!$M$6:$M$26,"Partial")</f>
        <v>0</v>
      </c>
      <c r="H8" s="39" t="n">
        <f aca="false">SUMIFS(Raw_Xero_Invoices!$H$6:$H$26,Raw_Xero_Invoices!$D$6:$D$26,B8,Raw_Xero_Invoices!$M$6:$M$26,"Paid")</f>
        <v>1225.35</v>
      </c>
      <c r="I8" s="39" t="n">
        <f aca="false">SUMIFS(Raw_Xero_Invoices!$H$6:$H$26,Raw_Xero_Invoices!$D$6:$D$26,B8,Raw_Xero_Invoices!$M$6:$M$26,"Void")</f>
        <v>953.05</v>
      </c>
      <c r="J8" s="39" t="n">
        <f aca="false">D8+E8+F8+G8</f>
        <v>0</v>
      </c>
      <c r="K8" s="64" t="n">
        <f aca="false">COUNTIFS(Raw_Xero_Invoices!$D$6:$D$26,B8)</f>
        <v>2</v>
      </c>
      <c r="L8" s="1"/>
      <c r="M8" s="1"/>
      <c r="N8" s="1"/>
    </row>
    <row r="9" customFormat="false" ht="19.5" hidden="false" customHeight="true" outlineLevel="0" collapsed="false">
      <c r="A9" s="1"/>
      <c r="B9" s="61" t="s">
        <v>111</v>
      </c>
      <c r="C9" s="37" t="n">
        <f aca="false">SUMIFS(Raw_Xero_Invoices!$H$6:$H$26,Raw_Xero_Invoices!$D$6:$D$26,B9)</f>
        <v>27500</v>
      </c>
      <c r="D9" s="37" t="n">
        <f aca="false">SUMIFS(Raw_Xero_Invoices!$H$6:$H$26,Raw_Xero_Invoices!$D$6:$D$26,B9,Raw_Xero_Invoices!$M$6:$M$26,"Draft")</f>
        <v>0</v>
      </c>
      <c r="E9" s="37" t="n">
        <f aca="false">SUMIFS(Raw_Xero_Invoices!$H$6:$H$26,Raw_Xero_Invoices!$D$6:$D$26,B9,Raw_Xero_Invoices!$M$6:$M$26,"Unsent")</f>
        <v>9500</v>
      </c>
      <c r="F9" s="37" t="n">
        <f aca="false">SUMIFS(Raw_Xero_Invoices!$H$6:$H$26,Raw_Xero_Invoices!$D$6:$D$26,B9,Raw_Xero_Invoices!$M$6:$M$26,"Awaiting Payment")</f>
        <v>0</v>
      </c>
      <c r="G9" s="37" t="n">
        <f aca="false">SUMIFS(Raw_Xero_Invoices!$H$6:$H$26,Raw_Xero_Invoices!$D$6:$D$26,B9,Raw_Xero_Invoices!$M$6:$M$26,"Partial")</f>
        <v>0</v>
      </c>
      <c r="H9" s="37" t="n">
        <f aca="false">SUMIFS(Raw_Xero_Invoices!$H$6:$H$26,Raw_Xero_Invoices!$D$6:$D$26,B9,Raw_Xero_Invoices!$M$6:$M$26,"Paid")</f>
        <v>18000</v>
      </c>
      <c r="I9" s="37" t="n">
        <f aca="false">SUMIFS(Raw_Xero_Invoices!$H$6:$H$26,Raw_Xero_Invoices!$D$6:$D$26,B9,Raw_Xero_Invoices!$M$6:$M$26,"Void")</f>
        <v>0</v>
      </c>
      <c r="J9" s="37" t="n">
        <f aca="false">D9+E9+F9+G9</f>
        <v>9500</v>
      </c>
      <c r="K9" s="62" t="n">
        <f aca="false">COUNTIFS(Raw_Xero_Invoices!$D$6:$D$26,B9)</f>
        <v>2</v>
      </c>
      <c r="L9" s="1"/>
      <c r="M9" s="1"/>
      <c r="N9" s="1"/>
    </row>
    <row r="10" customFormat="false" ht="19.5" hidden="false" customHeight="true" outlineLevel="0" collapsed="false">
      <c r="A10" s="1"/>
      <c r="B10" s="63" t="s">
        <v>113</v>
      </c>
      <c r="C10" s="39" t="n">
        <f aca="false">SUMIFS(Raw_Xero_Invoices!$H$6:$H$26,Raw_Xero_Invoices!$D$6:$D$26,B10)</f>
        <v>2586.85</v>
      </c>
      <c r="D10" s="39" t="n">
        <f aca="false">SUMIFS(Raw_Xero_Invoices!$H$6:$H$26,Raw_Xero_Invoices!$D$6:$D$26,B10,Raw_Xero_Invoices!$M$6:$M$26,"Draft")</f>
        <v>0</v>
      </c>
      <c r="E10" s="39" t="n">
        <f aca="false">SUMIFS(Raw_Xero_Invoices!$H$6:$H$26,Raw_Xero_Invoices!$D$6:$D$26,B10,Raw_Xero_Invoices!$M$6:$M$26,"Unsent")</f>
        <v>0</v>
      </c>
      <c r="F10" s="39" t="n">
        <f aca="false">SUMIFS(Raw_Xero_Invoices!$H$6:$H$26,Raw_Xero_Invoices!$D$6:$D$26,B10,Raw_Xero_Invoices!$M$6:$M$26,"Awaiting Payment")</f>
        <v>0</v>
      </c>
      <c r="G10" s="39" t="n">
        <f aca="false">SUMIFS(Raw_Xero_Invoices!$H$6:$H$26,Raw_Xero_Invoices!$D$6:$D$26,B10,Raw_Xero_Invoices!$M$6:$M$26,"Partial")</f>
        <v>2586.85</v>
      </c>
      <c r="H10" s="39" t="n">
        <f aca="false">SUMIFS(Raw_Xero_Invoices!$H$6:$H$26,Raw_Xero_Invoices!$D$6:$D$26,B10,Raw_Xero_Invoices!$M$6:$M$26,"Paid")</f>
        <v>0</v>
      </c>
      <c r="I10" s="39" t="n">
        <f aca="false">SUMIFS(Raw_Xero_Invoices!$H$6:$H$26,Raw_Xero_Invoices!$D$6:$D$26,B10,Raw_Xero_Invoices!$M$6:$M$26,"Void")</f>
        <v>0</v>
      </c>
      <c r="J10" s="39" t="n">
        <f aca="false">D10+E10+F10+G10</f>
        <v>2586.85</v>
      </c>
      <c r="K10" s="64" t="n">
        <f aca="false">COUNTIFS(Raw_Xero_Invoices!$D$6:$D$26,B10)</f>
        <v>1</v>
      </c>
      <c r="L10" s="1"/>
      <c r="M10" s="1"/>
      <c r="N10" s="1"/>
    </row>
    <row r="11" customFormat="false" ht="19.5" hidden="false" customHeight="true" outlineLevel="0" collapsed="false">
      <c r="A11" s="1"/>
      <c r="B11" s="61" t="s">
        <v>114</v>
      </c>
      <c r="C11" s="37" t="n">
        <f aca="false">SUMIFS(Raw_Xero_Invoices!$H$6:$H$26,Raw_Xero_Invoices!$D$6:$D$26,B11)</f>
        <v>2042.25</v>
      </c>
      <c r="D11" s="37" t="n">
        <f aca="false">SUMIFS(Raw_Xero_Invoices!$H$6:$H$26,Raw_Xero_Invoices!$D$6:$D$26,B11,Raw_Xero_Invoices!$M$6:$M$26,"Draft")</f>
        <v>0</v>
      </c>
      <c r="E11" s="37" t="n">
        <f aca="false">SUMIFS(Raw_Xero_Invoices!$H$6:$H$26,Raw_Xero_Invoices!$D$6:$D$26,B11,Raw_Xero_Invoices!$M$6:$M$26,"Unsent")</f>
        <v>0</v>
      </c>
      <c r="F11" s="37" t="n">
        <f aca="false">SUMIFS(Raw_Xero_Invoices!$H$6:$H$26,Raw_Xero_Invoices!$D$6:$D$26,B11,Raw_Xero_Invoices!$M$6:$M$26,"Awaiting Payment")</f>
        <v>0</v>
      </c>
      <c r="G11" s="37" t="n">
        <f aca="false">SUMIFS(Raw_Xero_Invoices!$H$6:$H$26,Raw_Xero_Invoices!$D$6:$D$26,B11,Raw_Xero_Invoices!$M$6:$M$26,"Partial")</f>
        <v>0</v>
      </c>
      <c r="H11" s="37" t="n">
        <f aca="false">SUMIFS(Raw_Xero_Invoices!$H$6:$H$26,Raw_Xero_Invoices!$D$6:$D$26,B11,Raw_Xero_Invoices!$M$6:$M$26,"Paid")</f>
        <v>2042.25</v>
      </c>
      <c r="I11" s="37" t="n">
        <f aca="false">SUMIFS(Raw_Xero_Invoices!$H$6:$H$26,Raw_Xero_Invoices!$D$6:$D$26,B11,Raw_Xero_Invoices!$M$6:$M$26,"Void")</f>
        <v>0</v>
      </c>
      <c r="J11" s="37" t="n">
        <f aca="false">D11+E11+F11+G11</f>
        <v>0</v>
      </c>
      <c r="K11" s="62" t="n">
        <f aca="false">COUNTIFS(Raw_Xero_Invoices!$D$6:$D$26,B11)</f>
        <v>1</v>
      </c>
      <c r="L11" s="1"/>
      <c r="M11" s="1"/>
      <c r="N11" s="1"/>
    </row>
    <row r="12" customFormat="false" ht="19.5" hidden="false" customHeight="true" outlineLevel="0" collapsed="false">
      <c r="A12" s="1"/>
      <c r="B12" s="63" t="s">
        <v>115</v>
      </c>
      <c r="C12" s="39" t="n">
        <f aca="false">SUMIFS(Raw_Xero_Invoices!$H$6:$H$26,Raw_Xero_Invoices!$D$6:$D$26,B12)</f>
        <v>2314.55</v>
      </c>
      <c r="D12" s="39" t="n">
        <f aca="false">SUMIFS(Raw_Xero_Invoices!$H$6:$H$26,Raw_Xero_Invoices!$D$6:$D$26,B12,Raw_Xero_Invoices!$M$6:$M$26,"Draft")</f>
        <v>0</v>
      </c>
      <c r="E12" s="39" t="n">
        <f aca="false">SUMIFS(Raw_Xero_Invoices!$H$6:$H$26,Raw_Xero_Invoices!$D$6:$D$26,B12,Raw_Xero_Invoices!$M$6:$M$26,"Unsent")</f>
        <v>0</v>
      </c>
      <c r="F12" s="39" t="n">
        <f aca="false">SUMIFS(Raw_Xero_Invoices!$H$6:$H$26,Raw_Xero_Invoices!$D$6:$D$26,B12,Raw_Xero_Invoices!$M$6:$M$26,"Awaiting Payment")</f>
        <v>0</v>
      </c>
      <c r="G12" s="39" t="n">
        <f aca="false">SUMIFS(Raw_Xero_Invoices!$H$6:$H$26,Raw_Xero_Invoices!$D$6:$D$26,B12,Raw_Xero_Invoices!$M$6:$M$26,"Partial")</f>
        <v>0</v>
      </c>
      <c r="H12" s="39" t="n">
        <f aca="false">SUMIFS(Raw_Xero_Invoices!$H$6:$H$26,Raw_Xero_Invoices!$D$6:$D$26,B12,Raw_Xero_Invoices!$M$6:$M$26,"Paid")</f>
        <v>0</v>
      </c>
      <c r="I12" s="39" t="n">
        <f aca="false">SUMIFS(Raw_Xero_Invoices!$H$6:$H$26,Raw_Xero_Invoices!$D$6:$D$26,B12,Raw_Xero_Invoices!$M$6:$M$26,"Void")</f>
        <v>2314.55</v>
      </c>
      <c r="J12" s="39" t="n">
        <f aca="false">D12+E12+F12+G12</f>
        <v>0</v>
      </c>
      <c r="K12" s="64" t="n">
        <f aca="false">COUNTIFS(Raw_Xero_Invoices!$D$6:$D$26,B12)</f>
        <v>1</v>
      </c>
      <c r="L12" s="1"/>
      <c r="M12" s="1"/>
      <c r="N12" s="1"/>
    </row>
    <row r="13" customFormat="false" ht="19.5" hidden="false" customHeight="true" outlineLevel="0" collapsed="false">
      <c r="A13" s="1"/>
      <c r="B13" s="61" t="s">
        <v>116</v>
      </c>
      <c r="C13" s="37" t="n">
        <f aca="false">SUMIFS(Raw_Xero_Invoices!$H$6:$H$26,Raw_Xero_Invoices!$D$6:$D$26,B13)</f>
        <v>9200</v>
      </c>
      <c r="D13" s="37" t="n">
        <f aca="false">SUMIFS(Raw_Xero_Invoices!$H$6:$H$26,Raw_Xero_Invoices!$D$6:$D$26,B13,Raw_Xero_Invoices!$M$6:$M$26,"Draft")</f>
        <v>9200</v>
      </c>
      <c r="E13" s="37" t="n">
        <f aca="false">SUMIFS(Raw_Xero_Invoices!$H$6:$H$26,Raw_Xero_Invoices!$D$6:$D$26,B13,Raw_Xero_Invoices!$M$6:$M$26,"Unsent")</f>
        <v>0</v>
      </c>
      <c r="F13" s="37" t="n">
        <f aca="false">SUMIFS(Raw_Xero_Invoices!$H$6:$H$26,Raw_Xero_Invoices!$D$6:$D$26,B13,Raw_Xero_Invoices!$M$6:$M$26,"Awaiting Payment")</f>
        <v>0</v>
      </c>
      <c r="G13" s="37" t="n">
        <f aca="false">SUMIFS(Raw_Xero_Invoices!$H$6:$H$26,Raw_Xero_Invoices!$D$6:$D$26,B13,Raw_Xero_Invoices!$M$6:$M$26,"Partial")</f>
        <v>0</v>
      </c>
      <c r="H13" s="37" t="n">
        <f aca="false">SUMIFS(Raw_Xero_Invoices!$H$6:$H$26,Raw_Xero_Invoices!$D$6:$D$26,B13,Raw_Xero_Invoices!$M$6:$M$26,"Paid")</f>
        <v>0</v>
      </c>
      <c r="I13" s="37" t="n">
        <f aca="false">SUMIFS(Raw_Xero_Invoices!$H$6:$H$26,Raw_Xero_Invoices!$D$6:$D$26,B13,Raw_Xero_Invoices!$M$6:$M$26,"Void")</f>
        <v>0</v>
      </c>
      <c r="J13" s="37" t="n">
        <f aca="false">D13+E13+F13+G13</f>
        <v>9200</v>
      </c>
      <c r="K13" s="62" t="n">
        <f aca="false">COUNTIFS(Raw_Xero_Invoices!$D$6:$D$26,B13)</f>
        <v>1</v>
      </c>
      <c r="L13" s="1"/>
      <c r="M13" s="1"/>
      <c r="N13" s="1"/>
    </row>
    <row r="14" customFormat="false" ht="19.5" hidden="false" customHeight="true" outlineLevel="0" collapsed="false">
      <c r="A14" s="1"/>
      <c r="B14" s="63" t="s">
        <v>117</v>
      </c>
      <c r="C14" s="39" t="n">
        <f aca="false">SUMIFS(Raw_Xero_Invoices!$H$6:$H$26,Raw_Xero_Invoices!$D$6:$D$26,B14)</f>
        <v>5800</v>
      </c>
      <c r="D14" s="39" t="n">
        <f aca="false">SUMIFS(Raw_Xero_Invoices!$H$6:$H$26,Raw_Xero_Invoices!$D$6:$D$26,B14,Raw_Xero_Invoices!$M$6:$M$26,"Draft")</f>
        <v>0</v>
      </c>
      <c r="E14" s="39" t="n">
        <f aca="false">SUMIFS(Raw_Xero_Invoices!$H$6:$H$26,Raw_Xero_Invoices!$D$6:$D$26,B14,Raw_Xero_Invoices!$M$6:$M$26,"Unsent")</f>
        <v>0</v>
      </c>
      <c r="F14" s="39" t="n">
        <f aca="false">SUMIFS(Raw_Xero_Invoices!$H$6:$H$26,Raw_Xero_Invoices!$D$6:$D$26,B14,Raw_Xero_Invoices!$M$6:$M$26,"Awaiting Payment")</f>
        <v>0</v>
      </c>
      <c r="G14" s="39" t="n">
        <f aca="false">SUMIFS(Raw_Xero_Invoices!$H$6:$H$26,Raw_Xero_Invoices!$D$6:$D$26,B14,Raw_Xero_Invoices!$M$6:$M$26,"Partial")</f>
        <v>0</v>
      </c>
      <c r="H14" s="39" t="n">
        <f aca="false">SUMIFS(Raw_Xero_Invoices!$H$6:$H$26,Raw_Xero_Invoices!$D$6:$D$26,B14,Raw_Xero_Invoices!$M$6:$M$26,"Paid")</f>
        <v>5800</v>
      </c>
      <c r="I14" s="39" t="n">
        <f aca="false">SUMIFS(Raw_Xero_Invoices!$H$6:$H$26,Raw_Xero_Invoices!$D$6:$D$26,B14,Raw_Xero_Invoices!$M$6:$M$26,"Void")</f>
        <v>0</v>
      </c>
      <c r="J14" s="39" t="n">
        <f aca="false">D14+E14+F14+G14</f>
        <v>0</v>
      </c>
      <c r="K14" s="64" t="n">
        <f aca="false">COUNTIFS(Raw_Xero_Invoices!$D$6:$D$26,B14)</f>
        <v>1</v>
      </c>
      <c r="L14" s="1"/>
      <c r="M14" s="1"/>
      <c r="N14" s="1"/>
    </row>
    <row r="15" customFormat="false" ht="19.5" hidden="false" customHeight="true" outlineLevel="0" collapsed="false">
      <c r="A15" s="1"/>
      <c r="B15" s="61" t="s">
        <v>120</v>
      </c>
      <c r="C15" s="37" t="n">
        <f aca="false">SUMIFS(Raw_Xero_Invoices!$H$6:$H$26,Raw_Xero_Invoices!$D$6:$D$26,B15)</f>
        <v>8189.8</v>
      </c>
      <c r="D15" s="37" t="n">
        <f aca="false">SUMIFS(Raw_Xero_Invoices!$H$6:$H$26,Raw_Xero_Invoices!$D$6:$D$26,B15,Raw_Xero_Invoices!$M$6:$M$26,"Draft")</f>
        <v>3137.4</v>
      </c>
      <c r="E15" s="37" t="n">
        <f aca="false">SUMIFS(Raw_Xero_Invoices!$H$6:$H$26,Raw_Xero_Invoices!$D$6:$D$26,B15,Raw_Xero_Invoices!$M$6:$M$26,"Unsent")</f>
        <v>0</v>
      </c>
      <c r="F15" s="37" t="n">
        <f aca="false">SUMIFS(Raw_Xero_Invoices!$H$6:$H$26,Raw_Xero_Invoices!$D$6:$D$26,B15,Raw_Xero_Invoices!$M$6:$M$26,"Awaiting Payment")</f>
        <v>0</v>
      </c>
      <c r="G15" s="37" t="n">
        <f aca="false">SUMIFS(Raw_Xero_Invoices!$H$6:$H$26,Raw_Xero_Invoices!$D$6:$D$26,B15,Raw_Xero_Invoices!$M$6:$M$26,"Partial")</f>
        <v>0</v>
      </c>
      <c r="H15" s="37" t="n">
        <f aca="false">SUMIFS(Raw_Xero_Invoices!$H$6:$H$26,Raw_Xero_Invoices!$D$6:$D$26,B15,Raw_Xero_Invoices!$M$6:$M$26,"Paid")</f>
        <v>5052.4</v>
      </c>
      <c r="I15" s="37" t="n">
        <f aca="false">SUMIFS(Raw_Xero_Invoices!$H$6:$H$26,Raw_Xero_Invoices!$D$6:$D$26,B15,Raw_Xero_Invoices!$M$6:$M$26,"Void")</f>
        <v>0</v>
      </c>
      <c r="J15" s="37" t="n">
        <f aca="false">D15+E15+F15+G15</f>
        <v>3137.4</v>
      </c>
      <c r="K15" s="62" t="n">
        <f aca="false">COUNTIFS(Raw_Xero_Invoices!$D$6:$D$26,B15)</f>
        <v>2</v>
      </c>
      <c r="L15" s="1"/>
      <c r="M15" s="1"/>
      <c r="N15" s="1"/>
    </row>
    <row r="16" customFormat="false" ht="19.5" hidden="false" customHeight="true" outlineLevel="0" collapsed="false">
      <c r="A16" s="1"/>
      <c r="B16" s="63" t="s">
        <v>122</v>
      </c>
      <c r="C16" s="39" t="n">
        <f aca="false">SUMIFS(Raw_Xero_Invoices!$H$6:$H$26,Raw_Xero_Invoices!$D$6:$D$26,B16)</f>
        <v>15500</v>
      </c>
      <c r="D16" s="39" t="n">
        <f aca="false">SUMIFS(Raw_Xero_Invoices!$H$6:$H$26,Raw_Xero_Invoices!$D$6:$D$26,B16,Raw_Xero_Invoices!$M$6:$M$26,"Draft")</f>
        <v>0</v>
      </c>
      <c r="E16" s="39" t="n">
        <f aca="false">SUMIFS(Raw_Xero_Invoices!$H$6:$H$26,Raw_Xero_Invoices!$D$6:$D$26,B16,Raw_Xero_Invoices!$M$6:$M$26,"Unsent")</f>
        <v>0</v>
      </c>
      <c r="F16" s="39" t="n">
        <f aca="false">SUMIFS(Raw_Xero_Invoices!$H$6:$H$26,Raw_Xero_Invoices!$D$6:$D$26,B16,Raw_Xero_Invoices!$M$6:$M$26,"Awaiting Payment")</f>
        <v>0</v>
      </c>
      <c r="G16" s="39" t="n">
        <f aca="false">SUMIFS(Raw_Xero_Invoices!$H$6:$H$26,Raw_Xero_Invoices!$D$6:$D$26,B16,Raw_Xero_Invoices!$M$6:$M$26,"Partial")</f>
        <v>0</v>
      </c>
      <c r="H16" s="39" t="n">
        <f aca="false">SUMIFS(Raw_Xero_Invoices!$H$6:$H$26,Raw_Xero_Invoices!$D$6:$D$26,B16,Raw_Xero_Invoices!$M$6:$M$26,"Paid")</f>
        <v>15500</v>
      </c>
      <c r="I16" s="39" t="n">
        <f aca="false">SUMIFS(Raw_Xero_Invoices!$H$6:$H$26,Raw_Xero_Invoices!$D$6:$D$26,B16,Raw_Xero_Invoices!$M$6:$M$26,"Void")</f>
        <v>0</v>
      </c>
      <c r="J16" s="39" t="n">
        <f aca="false">D16+E16+F16+G16</f>
        <v>0</v>
      </c>
      <c r="K16" s="64" t="n">
        <f aca="false">COUNTIFS(Raw_Xero_Invoices!$D$6:$D$26,B16)</f>
        <v>1</v>
      </c>
      <c r="L16" s="1"/>
      <c r="M16" s="1"/>
      <c r="N16" s="1"/>
    </row>
    <row r="17" customFormat="false" ht="19.5" hidden="false" customHeight="true" outlineLevel="0" collapsed="false">
      <c r="A17" s="1"/>
      <c r="B17" s="61" t="s">
        <v>123</v>
      </c>
      <c r="C17" s="37" t="n">
        <f aca="false">SUMIFS(Raw_Xero_Invoices!$H$6:$H$26,Raw_Xero_Invoices!$D$6:$D$26,B17)</f>
        <v>22758.9</v>
      </c>
      <c r="D17" s="37" t="n">
        <f aca="false">SUMIFS(Raw_Xero_Invoices!$H$6:$H$26,Raw_Xero_Invoices!$D$6:$D$26,B17,Raw_Xero_Invoices!$M$6:$M$26,"Draft")</f>
        <v>0</v>
      </c>
      <c r="E17" s="37" t="n">
        <f aca="false">SUMIFS(Raw_Xero_Invoices!$H$6:$H$26,Raw_Xero_Invoices!$D$6:$D$26,B17,Raw_Xero_Invoices!$M$6:$M$26,"Unsent")</f>
        <v>0</v>
      </c>
      <c r="F17" s="37" t="n">
        <f aca="false">SUMIFS(Raw_Xero_Invoices!$H$6:$H$26,Raw_Xero_Invoices!$D$6:$D$26,B17,Raw_Xero_Invoices!$M$6:$M$26,"Awaiting Payment")</f>
        <v>4926.9</v>
      </c>
      <c r="G17" s="37" t="n">
        <f aca="false">SUMIFS(Raw_Xero_Invoices!$H$6:$H$26,Raw_Xero_Invoices!$D$6:$D$26,B17,Raw_Xero_Invoices!$M$6:$M$26,"Partial")</f>
        <v>0</v>
      </c>
      <c r="H17" s="37" t="n">
        <f aca="false">SUMIFS(Raw_Xero_Invoices!$H$6:$H$26,Raw_Xero_Invoices!$D$6:$D$26,B17,Raw_Xero_Invoices!$M$6:$M$26,"Paid")</f>
        <v>17832</v>
      </c>
      <c r="I17" s="37" t="n">
        <f aca="false">SUMIFS(Raw_Xero_Invoices!$H$6:$H$26,Raw_Xero_Invoices!$D$6:$D$26,B17,Raw_Xero_Invoices!$M$6:$M$26,"Void")</f>
        <v>0</v>
      </c>
      <c r="J17" s="37" t="n">
        <f aca="false">D17+E17+F17+G17</f>
        <v>4926.9</v>
      </c>
      <c r="K17" s="62" t="n">
        <f aca="false">COUNTIFS(Raw_Xero_Invoices!$D$6:$D$26,B17)</f>
        <v>2</v>
      </c>
      <c r="L17" s="1"/>
      <c r="M17" s="1"/>
      <c r="N17" s="1"/>
    </row>
    <row r="18" customFormat="false" ht="19.5" hidden="false" customHeight="true" outlineLevel="0" collapsed="false">
      <c r="A18" s="1"/>
      <c r="B18" s="63" t="s">
        <v>124</v>
      </c>
      <c r="C18" s="39" t="n">
        <f aca="false">SUMIFS(Raw_Xero_Invoices!$H$6:$H$26,Raw_Xero_Invoices!$D$6:$D$26,B18)</f>
        <v>3124.8</v>
      </c>
      <c r="D18" s="39" t="n">
        <f aca="false">SUMIFS(Raw_Xero_Invoices!$H$6:$H$26,Raw_Xero_Invoices!$D$6:$D$26,B18,Raw_Xero_Invoices!$M$6:$M$26,"Draft")</f>
        <v>0</v>
      </c>
      <c r="E18" s="39" t="n">
        <f aca="false">SUMIFS(Raw_Xero_Invoices!$H$6:$H$26,Raw_Xero_Invoices!$D$6:$D$26,B18,Raw_Xero_Invoices!$M$6:$M$26,"Unsent")</f>
        <v>0</v>
      </c>
      <c r="F18" s="39" t="n">
        <f aca="false">SUMIFS(Raw_Xero_Invoices!$H$6:$H$26,Raw_Xero_Invoices!$D$6:$D$26,B18,Raw_Xero_Invoices!$M$6:$M$26,"Awaiting Payment")</f>
        <v>0</v>
      </c>
      <c r="G18" s="39" t="n">
        <f aca="false">SUMIFS(Raw_Xero_Invoices!$H$6:$H$26,Raw_Xero_Invoices!$D$6:$D$26,B18,Raw_Xero_Invoices!$M$6:$M$26,"Partial")</f>
        <v>0</v>
      </c>
      <c r="H18" s="39" t="n">
        <f aca="false">SUMIFS(Raw_Xero_Invoices!$H$6:$H$26,Raw_Xero_Invoices!$D$6:$D$26,B18,Raw_Xero_Invoices!$M$6:$M$26,"Paid")</f>
        <v>3124.8</v>
      </c>
      <c r="I18" s="39" t="n">
        <f aca="false">SUMIFS(Raw_Xero_Invoices!$H$6:$H$26,Raw_Xero_Invoices!$D$6:$D$26,B18,Raw_Xero_Invoices!$M$6:$M$26,"Void")</f>
        <v>0</v>
      </c>
      <c r="J18" s="39" t="n">
        <f aca="false">D18+E18+F18+G18</f>
        <v>0</v>
      </c>
      <c r="K18" s="64" t="n">
        <f aca="false">COUNTIFS(Raw_Xero_Invoices!$D$6:$D$26,B18)</f>
        <v>1</v>
      </c>
      <c r="L18" s="1"/>
      <c r="M18" s="1"/>
      <c r="N18" s="1"/>
    </row>
    <row r="19" customFormat="false" ht="19.5" hidden="false" customHeight="true" outlineLevel="0" collapsed="false">
      <c r="A19" s="1"/>
      <c r="B19" s="61" t="s">
        <v>125</v>
      </c>
      <c r="C19" s="37" t="n">
        <f aca="false">SUMIFS(Raw_Xero_Invoices!$H$6:$H$26,Raw_Xero_Invoices!$D$6:$D$26,B19)</f>
        <v>6600</v>
      </c>
      <c r="D19" s="37" t="n">
        <f aca="false">SUMIFS(Raw_Xero_Invoices!$H$6:$H$26,Raw_Xero_Invoices!$D$6:$D$26,B19,Raw_Xero_Invoices!$M$6:$M$26,"Draft")</f>
        <v>0</v>
      </c>
      <c r="E19" s="37" t="n">
        <f aca="false">SUMIFS(Raw_Xero_Invoices!$H$6:$H$26,Raw_Xero_Invoices!$D$6:$D$26,B19,Raw_Xero_Invoices!$M$6:$M$26,"Unsent")</f>
        <v>0</v>
      </c>
      <c r="F19" s="37" t="n">
        <f aca="false">SUMIFS(Raw_Xero_Invoices!$H$6:$H$26,Raw_Xero_Invoices!$D$6:$D$26,B19,Raw_Xero_Invoices!$M$6:$M$26,"Awaiting Payment")</f>
        <v>0</v>
      </c>
      <c r="G19" s="37" t="n">
        <f aca="false">SUMIFS(Raw_Xero_Invoices!$H$6:$H$26,Raw_Xero_Invoices!$D$6:$D$26,B19,Raw_Xero_Invoices!$M$6:$M$26,"Partial")</f>
        <v>0</v>
      </c>
      <c r="H19" s="37" t="n">
        <f aca="false">SUMIFS(Raw_Xero_Invoices!$H$6:$H$26,Raw_Xero_Invoices!$D$6:$D$26,B19,Raw_Xero_Invoices!$M$6:$M$26,"Paid")</f>
        <v>6600</v>
      </c>
      <c r="I19" s="37" t="n">
        <f aca="false">SUMIFS(Raw_Xero_Invoices!$H$6:$H$26,Raw_Xero_Invoices!$D$6:$D$26,B19,Raw_Xero_Invoices!$M$6:$M$26,"Void")</f>
        <v>0</v>
      </c>
      <c r="J19" s="37" t="n">
        <f aca="false">D19+E19+F19+G19</f>
        <v>0</v>
      </c>
      <c r="K19" s="62" t="n">
        <f aca="false">COUNTIFS(Raw_Xero_Invoices!$D$6:$D$26,B19)</f>
        <v>1</v>
      </c>
      <c r="L19" s="1"/>
      <c r="M19" s="1"/>
      <c r="N19" s="1"/>
    </row>
    <row r="20" customFormat="false" ht="19.5" hidden="false" customHeight="true" outlineLevel="0" collapsed="false">
      <c r="A20" s="1"/>
      <c r="B20" s="63" t="s">
        <v>126</v>
      </c>
      <c r="C20" s="39" t="n">
        <f aca="false">SUMIFS(Raw_Xero_Invoices!$H$6:$H$26,Raw_Xero_Invoices!$D$6:$D$26,B20)</f>
        <v>10050.75</v>
      </c>
      <c r="D20" s="39" t="n">
        <f aca="false">SUMIFS(Raw_Xero_Invoices!$H$6:$H$26,Raw_Xero_Invoices!$D$6:$D$26,B20,Raw_Xero_Invoices!$M$6:$M$26,"Draft")</f>
        <v>0</v>
      </c>
      <c r="E20" s="39" t="n">
        <f aca="false">SUMIFS(Raw_Xero_Invoices!$H$6:$H$26,Raw_Xero_Invoices!$D$6:$D$26,B20,Raw_Xero_Invoices!$M$6:$M$26,"Unsent")</f>
        <v>0</v>
      </c>
      <c r="F20" s="39" t="n">
        <f aca="false">SUMIFS(Raw_Xero_Invoices!$H$6:$H$26,Raw_Xero_Invoices!$D$6:$D$26,B20,Raw_Xero_Invoices!$M$6:$M$26,"Awaiting Payment")</f>
        <v>0</v>
      </c>
      <c r="G20" s="39" t="n">
        <f aca="false">SUMIFS(Raw_Xero_Invoices!$H$6:$H$26,Raw_Xero_Invoices!$D$6:$D$26,B20,Raw_Xero_Invoices!$M$6:$M$26,"Partial")</f>
        <v>10050.75</v>
      </c>
      <c r="H20" s="39" t="n">
        <f aca="false">SUMIFS(Raw_Xero_Invoices!$H$6:$H$26,Raw_Xero_Invoices!$D$6:$D$26,B20,Raw_Xero_Invoices!$M$6:$M$26,"Paid")</f>
        <v>0</v>
      </c>
      <c r="I20" s="39" t="n">
        <f aca="false">SUMIFS(Raw_Xero_Invoices!$H$6:$H$26,Raw_Xero_Invoices!$D$6:$D$26,B20,Raw_Xero_Invoices!$M$6:$M$26,"Void")</f>
        <v>0</v>
      </c>
      <c r="J20" s="39" t="n">
        <f aca="false">D20+E20+F20+G20</f>
        <v>10050.75</v>
      </c>
      <c r="K20" s="64" t="n">
        <f aca="false">COUNTIFS(Raw_Xero_Invoices!$D$6:$D$26,B20)</f>
        <v>1</v>
      </c>
      <c r="L20" s="1"/>
      <c r="M20" s="1"/>
      <c r="N20" s="1"/>
    </row>
    <row r="21" customFormat="false" ht="19.5" hidden="false" customHeight="true" outlineLevel="0" collapsed="false">
      <c r="A21" s="1"/>
      <c r="B21" s="61" t="s">
        <v>127</v>
      </c>
      <c r="C21" s="37" t="n">
        <f aca="false">SUMIFS(Raw_Xero_Invoices!$H$6:$H$26,Raw_Xero_Invoices!$D$6:$D$26,B21)</f>
        <v>11500</v>
      </c>
      <c r="D21" s="37" t="n">
        <f aca="false">SUMIFS(Raw_Xero_Invoices!$H$6:$H$26,Raw_Xero_Invoices!$D$6:$D$26,B21,Raw_Xero_Invoices!$M$6:$M$26,"Draft")</f>
        <v>0</v>
      </c>
      <c r="E21" s="37" t="n">
        <f aca="false">SUMIFS(Raw_Xero_Invoices!$H$6:$H$26,Raw_Xero_Invoices!$D$6:$D$26,B21,Raw_Xero_Invoices!$M$6:$M$26,"Unsent")</f>
        <v>11500</v>
      </c>
      <c r="F21" s="37" t="n">
        <f aca="false">SUMIFS(Raw_Xero_Invoices!$H$6:$H$26,Raw_Xero_Invoices!$D$6:$D$26,B21,Raw_Xero_Invoices!$M$6:$M$26,"Awaiting Payment")</f>
        <v>0</v>
      </c>
      <c r="G21" s="37" t="n">
        <f aca="false">SUMIFS(Raw_Xero_Invoices!$H$6:$H$26,Raw_Xero_Invoices!$D$6:$D$26,B21,Raw_Xero_Invoices!$M$6:$M$26,"Partial")</f>
        <v>0</v>
      </c>
      <c r="H21" s="37" t="n">
        <f aca="false">SUMIFS(Raw_Xero_Invoices!$H$6:$H$26,Raw_Xero_Invoices!$D$6:$D$26,B21,Raw_Xero_Invoices!$M$6:$M$26,"Paid")</f>
        <v>0</v>
      </c>
      <c r="I21" s="37" t="n">
        <f aca="false">SUMIFS(Raw_Xero_Invoices!$H$6:$H$26,Raw_Xero_Invoices!$D$6:$D$26,B21,Raw_Xero_Invoices!$M$6:$M$26,"Void")</f>
        <v>0</v>
      </c>
      <c r="J21" s="37" t="n">
        <f aca="false">D21+E21+F21+G21</f>
        <v>11500</v>
      </c>
      <c r="K21" s="62" t="n">
        <f aca="false">COUNTIFS(Raw_Xero_Invoices!$D$6:$D$26,B21)</f>
        <v>1</v>
      </c>
      <c r="L21" s="1"/>
      <c r="M21" s="1"/>
      <c r="N21" s="1"/>
    </row>
    <row r="22" customFormat="false" ht="24" hidden="false" customHeight="true" outlineLevel="0" collapsed="false">
      <c r="A22" s="1"/>
      <c r="B22" s="40" t="s">
        <v>146</v>
      </c>
      <c r="C22" s="41" t="n">
        <f aca="false">SUM(C7:C21)</f>
        <v>134873.99</v>
      </c>
      <c r="D22" s="41" t="n">
        <f aca="false">SUM(D7:D21)</f>
        <v>12337.4</v>
      </c>
      <c r="E22" s="41" t="n">
        <f aca="false">SUM(E7:E21)</f>
        <v>21000</v>
      </c>
      <c r="F22" s="41" t="n">
        <f aca="false">SUM(F7:F21)</f>
        <v>6152.25</v>
      </c>
      <c r="G22" s="41" t="n">
        <f aca="false">SUM(G7:G21)</f>
        <v>13672.34</v>
      </c>
      <c r="H22" s="41" t="n">
        <f aca="false">SUM(H7:H21)</f>
        <v>78444.4</v>
      </c>
      <c r="I22" s="41" t="n">
        <f aca="false">SUM(I7:I21)</f>
        <v>3267.6</v>
      </c>
      <c r="J22" s="41" t="n">
        <f aca="false">SUM(J7:J21)</f>
        <v>53161.99</v>
      </c>
      <c r="K22" s="65" t="n">
        <f aca="false">SUM(K7:K21)</f>
        <v>21</v>
      </c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25.5" hidden="false" customHeight="true" outlineLevel="0" collapsed="false">
      <c r="A25" s="1"/>
      <c r="B25" s="5" t="s">
        <v>147</v>
      </c>
      <c r="C25" s="5"/>
      <c r="D25" s="5"/>
      <c r="E25" s="5"/>
      <c r="F25" s="5"/>
      <c r="G25" s="5"/>
      <c r="H25" s="5"/>
      <c r="I25" s="5"/>
      <c r="J25" s="5"/>
      <c r="K25" s="5"/>
      <c r="L25" s="1"/>
      <c r="M25" s="1"/>
      <c r="N25" s="1"/>
    </row>
    <row r="26" customFormat="false" ht="31.5" hidden="false" customHeight="true" outlineLevel="0" collapsed="false">
      <c r="A26" s="1"/>
      <c r="B26" s="23" t="s">
        <v>98</v>
      </c>
      <c r="C26" s="23" t="s">
        <v>137</v>
      </c>
      <c r="D26" s="23" t="s">
        <v>138</v>
      </c>
      <c r="E26" s="23" t="s">
        <v>139</v>
      </c>
      <c r="F26" s="23" t="s">
        <v>140</v>
      </c>
      <c r="G26" s="23" t="s">
        <v>141</v>
      </c>
      <c r="H26" s="23" t="s">
        <v>142</v>
      </c>
      <c r="I26" s="23" t="s">
        <v>143</v>
      </c>
      <c r="J26" s="23" t="s">
        <v>144</v>
      </c>
      <c r="K26" s="23" t="s">
        <v>145</v>
      </c>
      <c r="L26" s="1"/>
      <c r="M26" s="1"/>
      <c r="N26" s="1"/>
    </row>
    <row r="27" customFormat="false" ht="19.5" hidden="false" customHeight="true" outlineLevel="0" collapsed="false">
      <c r="A27" s="1"/>
      <c r="B27" s="61" t="s">
        <v>108</v>
      </c>
      <c r="C27" s="37" t="n">
        <f aca="false">SUMIFS(Raw_Stripe!$H$6:$H$49,Raw_Stripe!$D$6:$D$49,B27)</f>
        <v>9394.35</v>
      </c>
      <c r="D27" s="37" t="n">
        <f aca="false">SUMIFS(Raw_Stripe!$H$6:$H$49,Raw_Stripe!$D$6:$D$49,B27,Raw_Stripe!$P$6:$P$49,"Draft")</f>
        <v>0</v>
      </c>
      <c r="E27" s="37" t="n">
        <f aca="false">SUMIFS(Raw_Stripe!$H$6:$H$49,Raw_Stripe!$D$6:$D$49,B27,Raw_Stripe!$P$6:$P$49,"Unsent")</f>
        <v>2314.55</v>
      </c>
      <c r="F27" s="37" t="n">
        <f aca="false">SUMIFS(Raw_Stripe!$H$6:$H$49,Raw_Stripe!$D$6:$D$49,B27,Raw_Stripe!$P$6:$P$49,"Awaiting Payment")</f>
        <v>0</v>
      </c>
      <c r="G27" s="37" t="n">
        <f aca="false">SUMIFS(Raw_Stripe!$H$6:$H$49,Raw_Stripe!$D$6:$D$49,B27,Raw_Stripe!$P$6:$P$49,"Partial")</f>
        <v>1279.81</v>
      </c>
      <c r="H27" s="37" t="n">
        <f aca="false">SUMIFS(Raw_Stripe!$H$6:$H$49,Raw_Stripe!$D$6:$D$49,B27,Raw_Stripe!$P$6:$P$49,"Paid")</f>
        <v>5799.99</v>
      </c>
      <c r="I27" s="37" t="n">
        <f aca="false">SUMIFS(Raw_Stripe!$H$6:$H$49,Raw_Stripe!$D$6:$D$49,B27,Raw_Stripe!$P$6:$P$49,"Void")</f>
        <v>0</v>
      </c>
      <c r="J27" s="37" t="n">
        <f aca="false">D27+E27+F27+G27</f>
        <v>3594.36</v>
      </c>
      <c r="K27" s="62" t="n">
        <f aca="false">COUNTIFS(Raw_Stripe!$D$6:$D$49,B27)</f>
        <v>7</v>
      </c>
      <c r="L27" s="1"/>
      <c r="M27" s="1"/>
      <c r="N27" s="1"/>
    </row>
    <row r="28" customFormat="false" ht="19.5" hidden="false" customHeight="true" outlineLevel="0" collapsed="false">
      <c r="A28" s="1"/>
      <c r="B28" s="63" t="s">
        <v>110</v>
      </c>
      <c r="C28" s="39" t="n">
        <f aca="false">SUMIFS(Raw_Stripe!$H$6:$H$49,Raw_Stripe!$D$6:$D$49,B28)</f>
        <v>3322.06</v>
      </c>
      <c r="D28" s="39" t="n">
        <f aca="false">SUMIFS(Raw_Stripe!$H$6:$H$49,Raw_Stripe!$D$6:$D$49,B28,Raw_Stripe!$P$6:$P$49,"Draft")</f>
        <v>0</v>
      </c>
      <c r="E28" s="39" t="n">
        <f aca="false">SUMIFS(Raw_Stripe!$H$6:$H$49,Raw_Stripe!$D$6:$D$49,B28,Raw_Stripe!$P$6:$P$49,"Unsent")</f>
        <v>1143.66</v>
      </c>
      <c r="F28" s="39" t="n">
        <f aca="false">SUMIFS(Raw_Stripe!$H$6:$H$49,Raw_Stripe!$D$6:$D$49,B28,Raw_Stripe!$P$6:$P$49,"Awaiting Payment")</f>
        <v>0</v>
      </c>
      <c r="G28" s="39" t="n">
        <f aca="false">SUMIFS(Raw_Stripe!$H$6:$H$49,Raw_Stripe!$D$6:$D$49,B28,Raw_Stripe!$P$6:$P$49,"Partial")</f>
        <v>0</v>
      </c>
      <c r="H28" s="39" t="n">
        <f aca="false">SUMIFS(Raw_Stripe!$H$6:$H$49,Raw_Stripe!$D$6:$D$49,B28,Raw_Stripe!$P$6:$P$49,"Paid")</f>
        <v>2178.4</v>
      </c>
      <c r="I28" s="39" t="n">
        <f aca="false">SUMIFS(Raw_Stripe!$H$6:$H$49,Raw_Stripe!$D$6:$D$49,B28,Raw_Stripe!$P$6:$P$49,"Void")</f>
        <v>0</v>
      </c>
      <c r="J28" s="39" t="n">
        <f aca="false">D28+E28+F28+G28</f>
        <v>1143.66</v>
      </c>
      <c r="K28" s="64" t="n">
        <f aca="false">COUNTIFS(Raw_Stripe!$D$6:$D$49,B28)</f>
        <v>5</v>
      </c>
      <c r="L28" s="1"/>
      <c r="M28" s="1"/>
      <c r="N28" s="1"/>
    </row>
    <row r="29" customFormat="false" ht="19.5" hidden="false" customHeight="true" outlineLevel="0" collapsed="false">
      <c r="A29" s="1"/>
      <c r="B29" s="61" t="s">
        <v>111</v>
      </c>
      <c r="C29" s="37" t="n">
        <f aca="false">SUMIFS(Raw_Stripe!$H$6:$H$49,Raw_Stripe!$D$6:$D$49,B29)</f>
        <v>46000</v>
      </c>
      <c r="D29" s="37" t="n">
        <f aca="false">SUMIFS(Raw_Stripe!$H$6:$H$49,Raw_Stripe!$D$6:$D$49,B29,Raw_Stripe!$P$6:$P$49,"Draft")</f>
        <v>9500</v>
      </c>
      <c r="E29" s="37" t="n">
        <f aca="false">SUMIFS(Raw_Stripe!$H$6:$H$49,Raw_Stripe!$D$6:$D$49,B29,Raw_Stripe!$P$6:$P$49,"Unsent")</f>
        <v>0</v>
      </c>
      <c r="F29" s="37" t="n">
        <f aca="false">SUMIFS(Raw_Stripe!$H$6:$H$49,Raw_Stripe!$D$6:$D$49,B29,Raw_Stripe!$P$6:$P$49,"Awaiting Payment")</f>
        <v>0</v>
      </c>
      <c r="G29" s="37" t="n">
        <f aca="false">SUMIFS(Raw_Stripe!$H$6:$H$49,Raw_Stripe!$D$6:$D$49,B29,Raw_Stripe!$P$6:$P$49,"Partial")</f>
        <v>0</v>
      </c>
      <c r="H29" s="37" t="n">
        <f aca="false">SUMIFS(Raw_Stripe!$H$6:$H$49,Raw_Stripe!$D$6:$D$49,B29,Raw_Stripe!$P$6:$P$49,"Paid")</f>
        <v>36500</v>
      </c>
      <c r="I29" s="37" t="n">
        <f aca="false">SUMIFS(Raw_Stripe!$H$6:$H$49,Raw_Stripe!$D$6:$D$49,B29,Raw_Stripe!$P$6:$P$49,"Void")</f>
        <v>0</v>
      </c>
      <c r="J29" s="37" t="n">
        <f aca="false">D29+E29+F29+G29</f>
        <v>9500</v>
      </c>
      <c r="K29" s="62" t="n">
        <f aca="false">COUNTIFS(Raw_Stripe!$D$6:$D$49,B29)</f>
        <v>5</v>
      </c>
      <c r="L29" s="1"/>
      <c r="M29" s="1"/>
      <c r="N29" s="1"/>
    </row>
    <row r="30" customFormat="false" ht="19.5" hidden="false" customHeight="true" outlineLevel="0" collapsed="false">
      <c r="A30" s="1"/>
      <c r="B30" s="63" t="s">
        <v>113</v>
      </c>
      <c r="C30" s="39" t="n">
        <f aca="false">SUMIFS(Raw_Stripe!$H$6:$H$49,Raw_Stripe!$D$6:$D$49,B30)</f>
        <v>4656.33</v>
      </c>
      <c r="D30" s="39" t="n">
        <f aca="false">SUMIFS(Raw_Stripe!$H$6:$H$49,Raw_Stripe!$D$6:$D$49,B30,Raw_Stripe!$P$6:$P$49,"Draft")</f>
        <v>0</v>
      </c>
      <c r="E30" s="39" t="n">
        <f aca="false">SUMIFS(Raw_Stripe!$H$6:$H$49,Raw_Stripe!$D$6:$D$49,B30,Raw_Stripe!$P$6:$P$49,"Unsent")</f>
        <v>0</v>
      </c>
      <c r="F30" s="39" t="n">
        <f aca="false">SUMIFS(Raw_Stripe!$H$6:$H$49,Raw_Stripe!$D$6:$D$49,B30,Raw_Stripe!$P$6:$P$49,"Awaiting Payment")</f>
        <v>0</v>
      </c>
      <c r="G30" s="39" t="n">
        <f aca="false">SUMIFS(Raw_Stripe!$H$6:$H$49,Raw_Stripe!$D$6:$D$49,B30,Raw_Stripe!$P$6:$P$49,"Partial")</f>
        <v>0</v>
      </c>
      <c r="H30" s="39" t="n">
        <f aca="false">SUMIFS(Raw_Stripe!$H$6:$H$49,Raw_Stripe!$D$6:$D$49,B30,Raw_Stripe!$P$6:$P$49,"Paid")</f>
        <v>4656.33</v>
      </c>
      <c r="I30" s="39" t="n">
        <f aca="false">SUMIFS(Raw_Stripe!$H$6:$H$49,Raw_Stripe!$D$6:$D$49,B30,Raw_Stripe!$P$6:$P$49,"Void")</f>
        <v>0</v>
      </c>
      <c r="J30" s="39" t="n">
        <f aca="false">D30+E30+F30+G30</f>
        <v>0</v>
      </c>
      <c r="K30" s="64" t="n">
        <f aca="false">COUNTIFS(Raw_Stripe!$D$6:$D$49,B30)</f>
        <v>3</v>
      </c>
      <c r="L30" s="1"/>
      <c r="M30" s="1"/>
      <c r="N30" s="1"/>
    </row>
    <row r="31" customFormat="false" ht="19.5" hidden="false" customHeight="true" outlineLevel="0" collapsed="false">
      <c r="A31" s="1"/>
      <c r="B31" s="61" t="s">
        <v>114</v>
      </c>
      <c r="C31" s="37" t="n">
        <f aca="false">SUMIFS(Raw_Stripe!$H$6:$H$49,Raw_Stripe!$D$6:$D$49,B31)</f>
        <v>1715.49</v>
      </c>
      <c r="D31" s="37" t="n">
        <f aca="false">SUMIFS(Raw_Stripe!$H$6:$H$49,Raw_Stripe!$D$6:$D$49,B31,Raw_Stripe!$P$6:$P$49,"Draft")</f>
        <v>0</v>
      </c>
      <c r="E31" s="37" t="n">
        <f aca="false">SUMIFS(Raw_Stripe!$H$6:$H$49,Raw_Stripe!$D$6:$D$49,B31,Raw_Stripe!$P$6:$P$49,"Unsent")</f>
        <v>0</v>
      </c>
      <c r="F31" s="37" t="n">
        <f aca="false">SUMIFS(Raw_Stripe!$H$6:$H$49,Raw_Stripe!$D$6:$D$49,B31,Raw_Stripe!$P$6:$P$49,"Awaiting Payment")</f>
        <v>0</v>
      </c>
      <c r="G31" s="37" t="n">
        <f aca="false">SUMIFS(Raw_Stripe!$H$6:$H$49,Raw_Stripe!$D$6:$D$49,B31,Raw_Stripe!$P$6:$P$49,"Partial")</f>
        <v>0</v>
      </c>
      <c r="H31" s="37" t="n">
        <f aca="false">SUMIFS(Raw_Stripe!$H$6:$H$49,Raw_Stripe!$D$6:$D$49,B31,Raw_Stripe!$P$6:$P$49,"Paid")</f>
        <v>1715.49</v>
      </c>
      <c r="I31" s="37" t="n">
        <f aca="false">SUMIFS(Raw_Stripe!$H$6:$H$49,Raw_Stripe!$D$6:$D$49,B31,Raw_Stripe!$P$6:$P$49,"Void")</f>
        <v>0</v>
      </c>
      <c r="J31" s="37" t="n">
        <f aca="false">D31+E31+F31+G31</f>
        <v>0</v>
      </c>
      <c r="K31" s="62" t="n">
        <f aca="false">COUNTIFS(Raw_Stripe!$D$6:$D$49,B31)</f>
        <v>2</v>
      </c>
      <c r="L31" s="1"/>
      <c r="M31" s="1"/>
      <c r="N31" s="1"/>
    </row>
    <row r="32" customFormat="false" ht="19.5" hidden="false" customHeight="true" outlineLevel="0" collapsed="false">
      <c r="A32" s="1"/>
      <c r="B32" s="63" t="s">
        <v>115</v>
      </c>
      <c r="C32" s="39" t="n">
        <f aca="false">SUMIFS(Raw_Stripe!$H$6:$H$49,Raw_Stripe!$D$6:$D$49,B32)</f>
        <v>4438.49</v>
      </c>
      <c r="D32" s="39" t="n">
        <f aca="false">SUMIFS(Raw_Stripe!$H$6:$H$49,Raw_Stripe!$D$6:$D$49,B32,Raw_Stripe!$P$6:$P$49,"Draft")</f>
        <v>0</v>
      </c>
      <c r="E32" s="39" t="n">
        <f aca="false">SUMIFS(Raw_Stripe!$H$6:$H$49,Raw_Stripe!$D$6:$D$49,B32,Raw_Stripe!$P$6:$P$49,"Unsent")</f>
        <v>0</v>
      </c>
      <c r="F32" s="39" t="n">
        <f aca="false">SUMIFS(Raw_Stripe!$H$6:$H$49,Raw_Stripe!$D$6:$D$49,B32,Raw_Stripe!$P$6:$P$49,"Awaiting Payment")</f>
        <v>0</v>
      </c>
      <c r="G32" s="39" t="n">
        <f aca="false">SUMIFS(Raw_Stripe!$H$6:$H$49,Raw_Stripe!$D$6:$D$49,B32,Raw_Stripe!$P$6:$P$49,"Partial")</f>
        <v>0</v>
      </c>
      <c r="H32" s="39" t="n">
        <f aca="false">SUMIFS(Raw_Stripe!$H$6:$H$49,Raw_Stripe!$D$6:$D$49,B32,Raw_Stripe!$P$6:$P$49,"Paid")</f>
        <v>2586.85</v>
      </c>
      <c r="I32" s="39" t="n">
        <f aca="false">SUMIFS(Raw_Stripe!$H$6:$H$49,Raw_Stripe!$D$6:$D$49,B32,Raw_Stripe!$P$6:$P$49,"Void")</f>
        <v>1851.64</v>
      </c>
      <c r="J32" s="39" t="n">
        <f aca="false">D32+E32+F32+G32</f>
        <v>0</v>
      </c>
      <c r="K32" s="64" t="n">
        <f aca="false">COUNTIFS(Raw_Stripe!$D$6:$D$49,B32)</f>
        <v>2</v>
      </c>
      <c r="L32" s="1"/>
      <c r="M32" s="1"/>
      <c r="N32" s="1"/>
    </row>
    <row r="33" customFormat="false" ht="19.5" hidden="false" customHeight="true" outlineLevel="0" collapsed="false">
      <c r="A33" s="1"/>
      <c r="B33" s="61" t="s">
        <v>116</v>
      </c>
      <c r="C33" s="37" t="n">
        <f aca="false">SUMIFS(Raw_Stripe!$H$6:$H$49,Raw_Stripe!$D$6:$D$49,B33)</f>
        <v>24000</v>
      </c>
      <c r="D33" s="37" t="n">
        <f aca="false">SUMIFS(Raw_Stripe!$H$6:$H$49,Raw_Stripe!$D$6:$D$49,B33,Raw_Stripe!$P$6:$P$49,"Draft")</f>
        <v>0</v>
      </c>
      <c r="E33" s="37" t="n">
        <f aca="false">SUMIFS(Raw_Stripe!$H$6:$H$49,Raw_Stripe!$D$6:$D$49,B33,Raw_Stripe!$P$6:$P$49,"Unsent")</f>
        <v>0</v>
      </c>
      <c r="F33" s="37" t="n">
        <f aca="false">SUMIFS(Raw_Stripe!$H$6:$H$49,Raw_Stripe!$D$6:$D$49,B33,Raw_Stripe!$P$6:$P$49,"Awaiting Payment")</f>
        <v>0</v>
      </c>
      <c r="G33" s="37" t="n">
        <f aca="false">SUMIFS(Raw_Stripe!$H$6:$H$49,Raw_Stripe!$D$6:$D$49,B33,Raw_Stripe!$P$6:$P$49,"Partial")</f>
        <v>0</v>
      </c>
      <c r="H33" s="37" t="n">
        <f aca="false">SUMIFS(Raw_Stripe!$H$6:$H$49,Raw_Stripe!$D$6:$D$49,B33,Raw_Stripe!$P$6:$P$49,"Paid")</f>
        <v>24000</v>
      </c>
      <c r="I33" s="37" t="n">
        <f aca="false">SUMIFS(Raw_Stripe!$H$6:$H$49,Raw_Stripe!$D$6:$D$49,B33,Raw_Stripe!$P$6:$P$49,"Void")</f>
        <v>0</v>
      </c>
      <c r="J33" s="37" t="n">
        <f aca="false">D33+E33+F33+G33</f>
        <v>0</v>
      </c>
      <c r="K33" s="62" t="n">
        <f aca="false">COUNTIFS(Raw_Stripe!$D$6:$D$49,B33)</f>
        <v>1</v>
      </c>
      <c r="L33" s="1"/>
      <c r="M33" s="1"/>
      <c r="N33" s="1"/>
    </row>
    <row r="34" customFormat="false" ht="19.5" hidden="false" customHeight="true" outlineLevel="0" collapsed="false">
      <c r="A34" s="1"/>
      <c r="B34" s="63" t="s">
        <v>117</v>
      </c>
      <c r="C34" s="39" t="n">
        <f aca="false">SUMIFS(Raw_Stripe!$H$6:$H$49,Raw_Stripe!$D$6:$D$49,B34)</f>
        <v>11900</v>
      </c>
      <c r="D34" s="39" t="n">
        <f aca="false">SUMIFS(Raw_Stripe!$H$6:$H$49,Raw_Stripe!$D$6:$D$49,B34,Raw_Stripe!$P$6:$P$49,"Draft")</f>
        <v>0</v>
      </c>
      <c r="E34" s="39" t="n">
        <f aca="false">SUMIFS(Raw_Stripe!$H$6:$H$49,Raw_Stripe!$D$6:$D$49,B34,Raw_Stripe!$P$6:$P$49,"Unsent")</f>
        <v>6500</v>
      </c>
      <c r="F34" s="39" t="n">
        <f aca="false">SUMIFS(Raw_Stripe!$H$6:$H$49,Raw_Stripe!$D$6:$D$49,B34,Raw_Stripe!$P$6:$P$49,"Awaiting Payment")</f>
        <v>0</v>
      </c>
      <c r="G34" s="39" t="n">
        <f aca="false">SUMIFS(Raw_Stripe!$H$6:$H$49,Raw_Stripe!$D$6:$D$49,B34,Raw_Stripe!$P$6:$P$49,"Partial")</f>
        <v>0</v>
      </c>
      <c r="H34" s="39" t="n">
        <f aca="false">SUMIFS(Raw_Stripe!$H$6:$H$49,Raw_Stripe!$D$6:$D$49,B34,Raw_Stripe!$P$6:$P$49,"Paid")</f>
        <v>5400</v>
      </c>
      <c r="I34" s="39" t="n">
        <f aca="false">SUMIFS(Raw_Stripe!$H$6:$H$49,Raw_Stripe!$D$6:$D$49,B34,Raw_Stripe!$P$6:$P$49,"Void")</f>
        <v>0</v>
      </c>
      <c r="J34" s="39" t="n">
        <f aca="false">D34+E34+F34+G34</f>
        <v>6500</v>
      </c>
      <c r="K34" s="64" t="n">
        <f aca="false">COUNTIFS(Raw_Stripe!$D$6:$D$49,B34)</f>
        <v>2</v>
      </c>
      <c r="L34" s="1"/>
      <c r="M34" s="1"/>
      <c r="N34" s="1"/>
    </row>
    <row r="35" customFormat="false" ht="19.5" hidden="false" customHeight="true" outlineLevel="0" collapsed="false">
      <c r="A35" s="1"/>
      <c r="B35" s="61" t="s">
        <v>120</v>
      </c>
      <c r="C35" s="37" t="n">
        <f aca="false">SUMIFS(Raw_Stripe!$H$6:$H$49,Raw_Stripe!$D$6:$D$49,B35)</f>
        <v>17744.4</v>
      </c>
      <c r="D35" s="37" t="n">
        <f aca="false">SUMIFS(Raw_Stripe!$H$6:$H$49,Raw_Stripe!$D$6:$D$49,B35,Raw_Stripe!$P$6:$P$49,"Draft")</f>
        <v>3135.3</v>
      </c>
      <c r="E35" s="37" t="n">
        <f aca="false">SUMIFS(Raw_Stripe!$H$6:$H$49,Raw_Stripe!$D$6:$D$49,B35,Raw_Stripe!$P$6:$P$49,"Unsent")</f>
        <v>0</v>
      </c>
      <c r="F35" s="37" t="n">
        <f aca="false">SUMIFS(Raw_Stripe!$H$6:$H$49,Raw_Stripe!$D$6:$D$49,B35,Raw_Stripe!$P$6:$P$49,"Awaiting Payment")</f>
        <v>0</v>
      </c>
      <c r="G35" s="37" t="n">
        <f aca="false">SUMIFS(Raw_Stripe!$H$6:$H$49,Raw_Stripe!$D$6:$D$49,B35,Raw_Stripe!$P$6:$P$49,"Partial")</f>
        <v>0</v>
      </c>
      <c r="H35" s="37" t="n">
        <f aca="false">SUMIFS(Raw_Stripe!$H$6:$H$49,Raw_Stripe!$D$6:$D$49,B35,Raw_Stripe!$P$6:$P$49,"Paid")</f>
        <v>14609.1</v>
      </c>
      <c r="I35" s="37" t="n">
        <f aca="false">SUMIFS(Raw_Stripe!$H$6:$H$49,Raw_Stripe!$D$6:$D$49,B35,Raw_Stripe!$P$6:$P$49,"Void")</f>
        <v>0</v>
      </c>
      <c r="J35" s="37" t="n">
        <f aca="false">D35+E35+F35+G35</f>
        <v>3135.3</v>
      </c>
      <c r="K35" s="62" t="n">
        <f aca="false">COUNTIFS(Raw_Stripe!$D$6:$D$49,B35)</f>
        <v>5</v>
      </c>
      <c r="L35" s="1"/>
      <c r="M35" s="1"/>
      <c r="N35" s="1"/>
    </row>
    <row r="36" customFormat="false" ht="19.5" hidden="false" customHeight="true" outlineLevel="0" collapsed="false">
      <c r="A36" s="1"/>
      <c r="B36" s="63" t="s">
        <v>122</v>
      </c>
      <c r="C36" s="39" t="n">
        <f aca="false">SUMIFS(Raw_Stripe!$H$6:$H$49,Raw_Stripe!$D$6:$D$49,B36)</f>
        <v>23000</v>
      </c>
      <c r="D36" s="39" t="n">
        <f aca="false">SUMIFS(Raw_Stripe!$H$6:$H$49,Raw_Stripe!$D$6:$D$49,B36,Raw_Stripe!$P$6:$P$49,"Draft")</f>
        <v>0</v>
      </c>
      <c r="E36" s="39" t="n">
        <f aca="false">SUMIFS(Raw_Stripe!$H$6:$H$49,Raw_Stripe!$D$6:$D$49,B36,Raw_Stripe!$P$6:$P$49,"Unsent")</f>
        <v>0</v>
      </c>
      <c r="F36" s="39" t="n">
        <f aca="false">SUMIFS(Raw_Stripe!$H$6:$H$49,Raw_Stripe!$D$6:$D$49,B36,Raw_Stripe!$P$6:$P$49,"Awaiting Payment")</f>
        <v>0</v>
      </c>
      <c r="G36" s="39" t="n">
        <f aca="false">SUMIFS(Raw_Stripe!$H$6:$H$49,Raw_Stripe!$D$6:$D$49,B36,Raw_Stripe!$P$6:$P$49,"Partial")</f>
        <v>0</v>
      </c>
      <c r="H36" s="39" t="n">
        <f aca="false">SUMIFS(Raw_Stripe!$H$6:$H$49,Raw_Stripe!$D$6:$D$49,B36,Raw_Stripe!$P$6:$P$49,"Paid")</f>
        <v>23000</v>
      </c>
      <c r="I36" s="39" t="n">
        <f aca="false">SUMIFS(Raw_Stripe!$H$6:$H$49,Raw_Stripe!$D$6:$D$49,B36,Raw_Stripe!$P$6:$P$49,"Void")</f>
        <v>0</v>
      </c>
      <c r="J36" s="39" t="n">
        <f aca="false">D36+E36+F36+G36</f>
        <v>0</v>
      </c>
      <c r="K36" s="64" t="n">
        <f aca="false">COUNTIFS(Raw_Stripe!$D$6:$D$49,B36)</f>
        <v>2</v>
      </c>
      <c r="L36" s="1"/>
      <c r="M36" s="1"/>
      <c r="N36" s="1"/>
    </row>
    <row r="37" customFormat="false" ht="19.5" hidden="false" customHeight="true" outlineLevel="0" collapsed="false">
      <c r="A37" s="1"/>
      <c r="B37" s="61" t="s">
        <v>123</v>
      </c>
      <c r="C37" s="37" t="n">
        <f aca="false">SUMIFS(Raw_Stripe!$H$6:$H$49,Raw_Stripe!$D$6:$D$49,B37)</f>
        <v>19400.4</v>
      </c>
      <c r="D37" s="37" t="n">
        <f aca="false">SUMIFS(Raw_Stripe!$H$6:$H$49,Raw_Stripe!$D$6:$D$49,B37,Raw_Stripe!$P$6:$P$49,"Draft")</f>
        <v>0</v>
      </c>
      <c r="E37" s="37" t="n">
        <f aca="false">SUMIFS(Raw_Stripe!$H$6:$H$49,Raw_Stripe!$D$6:$D$49,B37,Raw_Stripe!$P$6:$P$49,"Unsent")</f>
        <v>0</v>
      </c>
      <c r="F37" s="37" t="n">
        <f aca="false">SUMIFS(Raw_Stripe!$H$6:$H$49,Raw_Stripe!$D$6:$D$49,B37,Raw_Stripe!$P$6:$P$49,"Awaiting Payment")</f>
        <v>0</v>
      </c>
      <c r="G37" s="37" t="n">
        <f aca="false">SUMIFS(Raw_Stripe!$H$6:$H$49,Raw_Stripe!$D$6:$D$49,B37,Raw_Stripe!$P$6:$P$49,"Partial")</f>
        <v>0</v>
      </c>
      <c r="H37" s="37" t="n">
        <f aca="false">SUMIFS(Raw_Stripe!$H$6:$H$49,Raw_Stripe!$D$6:$D$49,B37,Raw_Stripe!$P$6:$P$49,"Paid")</f>
        <v>18056.7</v>
      </c>
      <c r="I37" s="37" t="n">
        <f aca="false">SUMIFS(Raw_Stripe!$H$6:$H$49,Raw_Stripe!$D$6:$D$49,B37,Raw_Stripe!$P$6:$P$49,"Void")</f>
        <v>1343.7</v>
      </c>
      <c r="J37" s="37" t="n">
        <f aca="false">D37+E37+F37+G37</f>
        <v>0</v>
      </c>
      <c r="K37" s="62" t="n">
        <f aca="false">COUNTIFS(Raw_Stripe!$D$6:$D$49,B37)</f>
        <v>4</v>
      </c>
      <c r="L37" s="1"/>
      <c r="M37" s="1"/>
      <c r="N37" s="1"/>
    </row>
    <row r="38" customFormat="false" ht="19.5" hidden="false" customHeight="true" outlineLevel="0" collapsed="false">
      <c r="A38" s="1"/>
      <c r="B38" s="63" t="s">
        <v>124</v>
      </c>
      <c r="C38" s="39" t="n">
        <f aca="false">SUMIFS(Raw_Stripe!$H$6:$H$49,Raw_Stripe!$D$6:$D$49,B38)</f>
        <v>5873.5</v>
      </c>
      <c r="D38" s="39" t="n">
        <f aca="false">SUMIFS(Raw_Stripe!$H$6:$H$49,Raw_Stripe!$D$6:$D$49,B38,Raw_Stripe!$P$6:$P$49,"Draft")</f>
        <v>0</v>
      </c>
      <c r="E38" s="39" t="n">
        <f aca="false">SUMIFS(Raw_Stripe!$H$6:$H$49,Raw_Stripe!$D$6:$D$49,B38,Raw_Stripe!$P$6:$P$49,"Unsent")</f>
        <v>0</v>
      </c>
      <c r="F38" s="39" t="n">
        <f aca="false">SUMIFS(Raw_Stripe!$H$6:$H$49,Raw_Stripe!$D$6:$D$49,B38,Raw_Stripe!$P$6:$P$49,"Awaiting Payment")</f>
        <v>0</v>
      </c>
      <c r="G38" s="39" t="n">
        <f aca="false">SUMIFS(Raw_Stripe!$H$6:$H$49,Raw_Stripe!$D$6:$D$49,B38,Raw_Stripe!$P$6:$P$49,"Partial")</f>
        <v>0</v>
      </c>
      <c r="H38" s="39" t="n">
        <f aca="false">SUMIFS(Raw_Stripe!$H$6:$H$49,Raw_Stripe!$D$6:$D$49,B38,Raw_Stripe!$P$6:$P$49,"Paid")</f>
        <v>5873.5</v>
      </c>
      <c r="I38" s="39" t="n">
        <f aca="false">SUMIFS(Raw_Stripe!$H$6:$H$49,Raw_Stripe!$D$6:$D$49,B38,Raw_Stripe!$P$6:$P$49,"Void")</f>
        <v>0</v>
      </c>
      <c r="J38" s="39" t="n">
        <f aca="false">D38+E38+F38+G38</f>
        <v>0</v>
      </c>
      <c r="K38" s="64" t="n">
        <f aca="false">COUNTIFS(Raw_Stripe!$D$6:$D$49,B38)</f>
        <v>2</v>
      </c>
      <c r="L38" s="1"/>
      <c r="M38" s="1"/>
      <c r="N38" s="1"/>
    </row>
    <row r="39" customFormat="false" ht="19.5" hidden="false" customHeight="true" outlineLevel="0" collapsed="false">
      <c r="A39" s="1"/>
      <c r="B39" s="61" t="s">
        <v>125</v>
      </c>
      <c r="C39" s="37" t="n">
        <f aca="false">SUMIFS(Raw_Stripe!$H$6:$H$49,Raw_Stripe!$D$6:$D$49,B39)</f>
        <v>26200</v>
      </c>
      <c r="D39" s="37" t="n">
        <f aca="false">SUMIFS(Raw_Stripe!$H$6:$H$49,Raw_Stripe!$D$6:$D$49,B39,Raw_Stripe!$P$6:$P$49,"Draft")</f>
        <v>24000</v>
      </c>
      <c r="E39" s="37" t="n">
        <f aca="false">SUMIFS(Raw_Stripe!$H$6:$H$49,Raw_Stripe!$D$6:$D$49,B39,Raw_Stripe!$P$6:$P$49,"Unsent")</f>
        <v>0</v>
      </c>
      <c r="F39" s="37" t="n">
        <f aca="false">SUMIFS(Raw_Stripe!$H$6:$H$49,Raw_Stripe!$D$6:$D$49,B39,Raw_Stripe!$P$6:$P$49,"Awaiting Payment")</f>
        <v>0</v>
      </c>
      <c r="G39" s="37" t="n">
        <f aca="false">SUMIFS(Raw_Stripe!$H$6:$H$49,Raw_Stripe!$D$6:$D$49,B39,Raw_Stripe!$P$6:$P$49,"Partial")</f>
        <v>0</v>
      </c>
      <c r="H39" s="37" t="n">
        <f aca="false">SUMIFS(Raw_Stripe!$H$6:$H$49,Raw_Stripe!$D$6:$D$49,B39,Raw_Stripe!$P$6:$P$49,"Paid")</f>
        <v>2200</v>
      </c>
      <c r="I39" s="37" t="n">
        <f aca="false">SUMIFS(Raw_Stripe!$H$6:$H$49,Raw_Stripe!$D$6:$D$49,B39,Raw_Stripe!$P$6:$P$49,"Void")</f>
        <v>0</v>
      </c>
      <c r="J39" s="37" t="n">
        <f aca="false">D39+E39+F39+G39</f>
        <v>24000</v>
      </c>
      <c r="K39" s="62" t="n">
        <f aca="false">COUNTIFS(Raw_Stripe!$D$6:$D$49,B39)</f>
        <v>2</v>
      </c>
      <c r="L39" s="1"/>
      <c r="M39" s="1"/>
      <c r="N39" s="1"/>
    </row>
    <row r="40" customFormat="false" ht="19.5" hidden="false" customHeight="true" outlineLevel="0" collapsed="false">
      <c r="A40" s="1"/>
      <c r="B40" s="63" t="s">
        <v>126</v>
      </c>
      <c r="C40" s="39" t="n">
        <f aca="false">SUMIFS(Raw_Stripe!$H$6:$H$49,Raw_Stripe!$D$6:$D$49,B40)</f>
        <v>10050.75</v>
      </c>
      <c r="D40" s="39" t="n">
        <f aca="false">SUMIFS(Raw_Stripe!$H$6:$H$49,Raw_Stripe!$D$6:$D$49,B40,Raw_Stripe!$P$6:$P$49,"Draft")</f>
        <v>0</v>
      </c>
      <c r="E40" s="39" t="n">
        <f aca="false">SUMIFS(Raw_Stripe!$H$6:$H$49,Raw_Stripe!$D$6:$D$49,B40,Raw_Stripe!$P$6:$P$49,"Unsent")</f>
        <v>0</v>
      </c>
      <c r="F40" s="39" t="n">
        <f aca="false">SUMIFS(Raw_Stripe!$H$6:$H$49,Raw_Stripe!$D$6:$D$49,B40,Raw_Stripe!$P$6:$P$49,"Awaiting Payment")</f>
        <v>0</v>
      </c>
      <c r="G40" s="39" t="n">
        <f aca="false">SUMIFS(Raw_Stripe!$H$6:$H$49,Raw_Stripe!$D$6:$D$49,B40,Raw_Stripe!$P$6:$P$49,"Partial")</f>
        <v>10050.75</v>
      </c>
      <c r="H40" s="39" t="n">
        <f aca="false">SUMIFS(Raw_Stripe!$H$6:$H$49,Raw_Stripe!$D$6:$D$49,B40,Raw_Stripe!$P$6:$P$49,"Paid")</f>
        <v>0</v>
      </c>
      <c r="I40" s="39" t="n">
        <f aca="false">SUMIFS(Raw_Stripe!$H$6:$H$49,Raw_Stripe!$D$6:$D$49,B40,Raw_Stripe!$P$6:$P$49,"Void")</f>
        <v>0</v>
      </c>
      <c r="J40" s="39" t="n">
        <f aca="false">D40+E40+F40+G40</f>
        <v>10050.75</v>
      </c>
      <c r="K40" s="64" t="n">
        <f aca="false">COUNTIFS(Raw_Stripe!$D$6:$D$49,B40)</f>
        <v>1</v>
      </c>
      <c r="L40" s="1"/>
      <c r="M40" s="1"/>
      <c r="N40" s="1"/>
    </row>
    <row r="41" customFormat="false" ht="19.5" hidden="false" customHeight="true" outlineLevel="0" collapsed="false">
      <c r="A41" s="1"/>
      <c r="B41" s="61" t="s">
        <v>127</v>
      </c>
      <c r="C41" s="37" t="n">
        <f aca="false">SUMIFS(Raw_Stripe!$H$6:$H$49,Raw_Stripe!$D$6:$D$49,B41)</f>
        <v>11200</v>
      </c>
      <c r="D41" s="37" t="n">
        <f aca="false">SUMIFS(Raw_Stripe!$H$6:$H$49,Raw_Stripe!$D$6:$D$49,B41,Raw_Stripe!$P$6:$P$49,"Draft")</f>
        <v>0</v>
      </c>
      <c r="E41" s="37" t="n">
        <f aca="false">SUMIFS(Raw_Stripe!$H$6:$H$49,Raw_Stripe!$D$6:$D$49,B41,Raw_Stripe!$P$6:$P$49,"Unsent")</f>
        <v>0</v>
      </c>
      <c r="F41" s="37" t="n">
        <f aca="false">SUMIFS(Raw_Stripe!$H$6:$H$49,Raw_Stripe!$D$6:$D$49,B41,Raw_Stripe!$P$6:$P$49,"Awaiting Payment")</f>
        <v>0</v>
      </c>
      <c r="G41" s="37" t="n">
        <f aca="false">SUMIFS(Raw_Stripe!$H$6:$H$49,Raw_Stripe!$D$6:$D$49,B41,Raw_Stripe!$P$6:$P$49,"Partial")</f>
        <v>0</v>
      </c>
      <c r="H41" s="37" t="n">
        <f aca="false">SUMIFS(Raw_Stripe!$H$6:$H$49,Raw_Stripe!$D$6:$D$49,B41,Raw_Stripe!$P$6:$P$49,"Paid")</f>
        <v>11200</v>
      </c>
      <c r="I41" s="37" t="n">
        <f aca="false">SUMIFS(Raw_Stripe!$H$6:$H$49,Raw_Stripe!$D$6:$D$49,B41,Raw_Stripe!$P$6:$P$49,"Void")</f>
        <v>0</v>
      </c>
      <c r="J41" s="37" t="n">
        <f aca="false">D41+E41+F41+G41</f>
        <v>0</v>
      </c>
      <c r="K41" s="62" t="n">
        <f aca="false">COUNTIFS(Raw_Stripe!$D$6:$D$49,B41)</f>
        <v>1</v>
      </c>
      <c r="L41" s="1"/>
      <c r="M41" s="1"/>
      <c r="N41" s="1"/>
    </row>
    <row r="42" customFormat="false" ht="24" hidden="false" customHeight="true" outlineLevel="0" collapsed="false">
      <c r="A42" s="1"/>
      <c r="B42" s="40" t="s">
        <v>146</v>
      </c>
      <c r="C42" s="41" t="n">
        <f aca="false">SUM(C27:C41)</f>
        <v>218895.77</v>
      </c>
      <c r="D42" s="41" t="n">
        <f aca="false">SUM(D27:D41)</f>
        <v>36635.3</v>
      </c>
      <c r="E42" s="41" t="n">
        <f aca="false">SUM(E27:E41)</f>
        <v>9958.21</v>
      </c>
      <c r="F42" s="41" t="n">
        <f aca="false">SUM(F27:F41)</f>
        <v>0</v>
      </c>
      <c r="G42" s="41" t="n">
        <f aca="false">SUM(G27:G41)</f>
        <v>11330.56</v>
      </c>
      <c r="H42" s="41" t="n">
        <f aca="false">SUM(H27:H41)</f>
        <v>157776.36</v>
      </c>
      <c r="I42" s="41" t="n">
        <f aca="false">SUM(I27:I41)</f>
        <v>3195.34</v>
      </c>
      <c r="J42" s="41" t="n">
        <f aca="false">SUM(J27:J41)</f>
        <v>57924.07</v>
      </c>
      <c r="K42" s="65" t="n">
        <f aca="false">SUM(K27:K41)</f>
        <v>44</v>
      </c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25.5" hidden="false" customHeight="true" outlineLevel="0" collapsed="false">
      <c r="A44" s="1"/>
      <c r="B44" s="12" t="s">
        <v>148</v>
      </c>
      <c r="C44" s="12"/>
      <c r="D44" s="12"/>
      <c r="E44" s="12"/>
      <c r="F44" s="12"/>
      <c r="G44" s="12"/>
      <c r="H44" s="12"/>
      <c r="I44" s="12"/>
      <c r="J44" s="12"/>
      <c r="K44" s="12"/>
      <c r="L44" s="1"/>
      <c r="M44" s="1"/>
      <c r="N44" s="1"/>
    </row>
    <row r="45" customFormat="false" ht="21.75" hidden="false" customHeight="true" outlineLevel="0" collapsed="false">
      <c r="A45" s="1"/>
      <c r="B45" s="57" t="s">
        <v>149</v>
      </c>
      <c r="C45" s="58" t="n">
        <f aca="false">C22</f>
        <v>134873.99</v>
      </c>
      <c r="D45" s="58"/>
      <c r="E45" s="58"/>
      <c r="F45" s="59"/>
      <c r="G45" s="59"/>
      <c r="H45" s="59"/>
      <c r="I45" s="59"/>
      <c r="J45" s="59"/>
      <c r="K45" s="59"/>
      <c r="L45" s="1"/>
      <c r="M45" s="1"/>
      <c r="N45" s="1"/>
    </row>
    <row r="46" customFormat="false" ht="21.75" hidden="false" customHeight="true" outlineLevel="0" collapsed="false">
      <c r="A46" s="1"/>
      <c r="B46" s="57" t="s">
        <v>150</v>
      </c>
      <c r="C46" s="58" t="n">
        <f aca="false">J22</f>
        <v>53161.99</v>
      </c>
      <c r="D46" s="58"/>
      <c r="E46" s="58"/>
      <c r="F46" s="59"/>
      <c r="G46" s="59"/>
      <c r="H46" s="59"/>
      <c r="I46" s="59"/>
      <c r="J46" s="59"/>
      <c r="K46" s="59"/>
      <c r="L46" s="1"/>
      <c r="M46" s="1"/>
      <c r="N46" s="1"/>
    </row>
    <row r="47" customFormat="false" ht="21.75" hidden="false" customHeight="true" outlineLevel="0" collapsed="false">
      <c r="A47" s="1"/>
      <c r="B47" s="57" t="s">
        <v>151</v>
      </c>
      <c r="C47" s="58" t="n">
        <f aca="false">C42</f>
        <v>218895.77</v>
      </c>
      <c r="D47" s="58"/>
      <c r="E47" s="58"/>
      <c r="F47" s="59"/>
      <c r="G47" s="59"/>
      <c r="H47" s="59"/>
      <c r="I47" s="59"/>
      <c r="J47" s="59"/>
      <c r="K47" s="59"/>
      <c r="L47" s="1"/>
      <c r="M47" s="1"/>
      <c r="N47" s="1"/>
    </row>
    <row r="48" customFormat="false" ht="21.75" hidden="false" customHeight="true" outlineLevel="0" collapsed="false">
      <c r="A48" s="1"/>
      <c r="B48" s="57" t="s">
        <v>152</v>
      </c>
      <c r="C48" s="58" t="n">
        <f aca="false">J42</f>
        <v>57924.07</v>
      </c>
      <c r="D48" s="58"/>
      <c r="E48" s="58"/>
      <c r="F48" s="59"/>
      <c r="G48" s="59"/>
      <c r="H48" s="59"/>
      <c r="I48" s="59"/>
      <c r="J48" s="59"/>
      <c r="K48" s="59"/>
      <c r="L48" s="1"/>
      <c r="M48" s="1"/>
      <c r="N48" s="1"/>
    </row>
    <row r="49" customFormat="false" ht="21.75" hidden="false" customHeight="true" outlineLevel="0" collapsed="false">
      <c r="A49" s="1"/>
      <c r="B49" s="57" t="s">
        <v>132</v>
      </c>
      <c r="C49" s="58" t="n">
        <f aca="false">J22+J42</f>
        <v>111086.06</v>
      </c>
      <c r="D49" s="58"/>
      <c r="E49" s="58"/>
      <c r="F49" s="59"/>
      <c r="G49" s="59"/>
      <c r="H49" s="59"/>
      <c r="I49" s="59"/>
      <c r="J49" s="59"/>
      <c r="K49" s="59"/>
      <c r="L49" s="1"/>
      <c r="M49" s="1"/>
      <c r="N49" s="1"/>
    </row>
    <row r="50" customFormat="false" ht="21.75" hidden="false" customHeight="true" outlineLevel="0" collapsed="false">
      <c r="A50" s="1"/>
      <c r="B50" s="57" t="s">
        <v>153</v>
      </c>
      <c r="C50" s="60" t="n">
        <f aca="false">K22</f>
        <v>21</v>
      </c>
      <c r="D50" s="60"/>
      <c r="E50" s="60"/>
      <c r="F50" s="59"/>
      <c r="G50" s="59"/>
      <c r="H50" s="59"/>
      <c r="I50" s="59"/>
      <c r="J50" s="59"/>
      <c r="K50" s="59"/>
      <c r="L50" s="1"/>
      <c r="M50" s="1"/>
      <c r="N50" s="1"/>
    </row>
    <row r="51" customFormat="false" ht="21.75" hidden="false" customHeight="true" outlineLevel="0" collapsed="false">
      <c r="A51" s="1"/>
      <c r="B51" s="57" t="s">
        <v>154</v>
      </c>
      <c r="C51" s="60" t="n">
        <f aca="false">K42</f>
        <v>44</v>
      </c>
      <c r="D51" s="60"/>
      <c r="E51" s="60"/>
      <c r="F51" s="59"/>
      <c r="G51" s="59"/>
      <c r="H51" s="59"/>
      <c r="I51" s="59"/>
      <c r="J51" s="59"/>
      <c r="K51" s="59"/>
      <c r="L51" s="1"/>
      <c r="M51" s="1"/>
      <c r="N51" s="1"/>
    </row>
    <row r="52" customFormat="false" ht="21.75" hidden="false" customHeight="true" outlineLevel="0" collapsed="false">
      <c r="A52" s="1"/>
      <c r="B52" s="57" t="s">
        <v>155</v>
      </c>
      <c r="C52" s="60" t="n">
        <f aca="false">COUNTIF(Raw_Xero_Invoices!M6:M26,"Draft")</f>
        <v>2</v>
      </c>
      <c r="D52" s="60"/>
      <c r="E52" s="60"/>
      <c r="F52" s="59"/>
      <c r="G52" s="59"/>
      <c r="H52" s="59"/>
      <c r="I52" s="59"/>
      <c r="J52" s="59"/>
      <c r="K52" s="59"/>
      <c r="L52" s="1"/>
      <c r="M52" s="1"/>
      <c r="N52" s="1"/>
    </row>
    <row r="53" customFormat="false" ht="21.75" hidden="false" customHeight="true" outlineLevel="0" collapsed="false">
      <c r="A53" s="1"/>
      <c r="B53" s="57" t="s">
        <v>156</v>
      </c>
      <c r="C53" s="60" t="n">
        <f aca="false">COUNTIF(Raw_Xero_Invoices!M6:M26,"Unsent")</f>
        <v>2</v>
      </c>
      <c r="D53" s="60"/>
      <c r="E53" s="60"/>
      <c r="F53" s="59"/>
      <c r="G53" s="59"/>
      <c r="H53" s="59"/>
      <c r="I53" s="59"/>
      <c r="J53" s="59"/>
      <c r="K53" s="59"/>
      <c r="L53" s="1"/>
      <c r="M53" s="1"/>
      <c r="N53" s="1"/>
    </row>
    <row r="54" customFormat="false" ht="21.75" hidden="false" customHeight="true" outlineLevel="0" collapsed="false">
      <c r="A54" s="1"/>
      <c r="B54" s="57" t="s">
        <v>157</v>
      </c>
      <c r="C54" s="60" t="n">
        <f aca="false">COUNTIF(Raw_Xero_Invoices!M6:M26,"Void")</f>
        <v>2</v>
      </c>
      <c r="D54" s="60"/>
      <c r="E54" s="60"/>
      <c r="F54" s="59"/>
      <c r="G54" s="59"/>
      <c r="H54" s="59"/>
      <c r="I54" s="59"/>
      <c r="J54" s="59"/>
      <c r="K54" s="59"/>
      <c r="L54" s="1"/>
      <c r="M54" s="1"/>
      <c r="N54" s="1"/>
    </row>
    <row r="55" customFormat="false" ht="21.75" hidden="false" customHeight="true" outlineLevel="0" collapsed="false">
      <c r="A55" s="1"/>
      <c r="B55" s="57" t="s">
        <v>158</v>
      </c>
      <c r="C55" s="60" t="n">
        <f aca="false">COUNTIF(Raw_Stripe!P6:P49,"Draft")</f>
        <v>3</v>
      </c>
      <c r="D55" s="60"/>
      <c r="E55" s="60"/>
      <c r="F55" s="59"/>
      <c r="G55" s="59"/>
      <c r="H55" s="59"/>
      <c r="I55" s="59"/>
      <c r="J55" s="59"/>
      <c r="K55" s="59"/>
      <c r="L55" s="1"/>
      <c r="M55" s="1"/>
      <c r="N55" s="1"/>
    </row>
    <row r="56" customFormat="false" ht="21.75" hidden="false" customHeight="true" outlineLevel="0" collapsed="false">
      <c r="A56" s="1"/>
      <c r="B56" s="57" t="s">
        <v>159</v>
      </c>
      <c r="C56" s="60" t="n">
        <f aca="false">COUNTIF(Raw_Stripe!P6:P49,"Unsent")</f>
        <v>3</v>
      </c>
      <c r="D56" s="60"/>
      <c r="E56" s="60"/>
      <c r="F56" s="59"/>
      <c r="G56" s="59"/>
      <c r="H56" s="59"/>
      <c r="I56" s="59"/>
      <c r="J56" s="59"/>
      <c r="K56" s="59"/>
      <c r="L56" s="1"/>
      <c r="M56" s="1"/>
      <c r="N56" s="1"/>
    </row>
    <row r="57" customFormat="false" ht="21.75" hidden="false" customHeight="true" outlineLevel="0" collapsed="false">
      <c r="A57" s="1"/>
      <c r="B57" s="57" t="s">
        <v>160</v>
      </c>
      <c r="C57" s="60" t="n">
        <f aca="false">COUNTIF(Raw_Stripe!P6:P49,"Void")</f>
        <v>2</v>
      </c>
      <c r="D57" s="60"/>
      <c r="E57" s="60"/>
      <c r="F57" s="59"/>
      <c r="G57" s="59"/>
      <c r="H57" s="59"/>
      <c r="I57" s="59"/>
      <c r="J57" s="59"/>
      <c r="K57" s="59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25.5" hidden="false" customHeight="true" outlineLevel="0" collapsed="false">
      <c r="A60" s="1"/>
      <c r="B60" s="10" t="s">
        <v>161</v>
      </c>
      <c r="C60" s="10"/>
      <c r="D60" s="10"/>
      <c r="E60" s="10"/>
      <c r="F60" s="10"/>
      <c r="G60" s="10"/>
      <c r="H60" s="10"/>
      <c r="I60" s="10"/>
      <c r="J60" s="10"/>
      <c r="K60" s="10"/>
      <c r="L60" s="1"/>
      <c r="M60" s="1"/>
      <c r="N60" s="1"/>
    </row>
    <row r="61" customFormat="false" ht="19.5" hidden="false" customHeight="true" outlineLevel="0" collapsed="false">
      <c r="A61" s="1"/>
      <c r="B61" s="66" t="s">
        <v>138</v>
      </c>
      <c r="C61" s="67" t="s">
        <v>162</v>
      </c>
      <c r="D61" s="67"/>
      <c r="E61" s="67"/>
      <c r="F61" s="67"/>
      <c r="G61" s="67"/>
      <c r="H61" s="67"/>
      <c r="I61" s="67"/>
      <c r="J61" s="67"/>
      <c r="K61" s="67"/>
      <c r="L61" s="1"/>
      <c r="M61" s="1"/>
      <c r="N61" s="1"/>
    </row>
    <row r="62" customFormat="false" ht="19.5" hidden="false" customHeight="true" outlineLevel="0" collapsed="false">
      <c r="A62" s="1"/>
      <c r="B62" s="68" t="s">
        <v>139</v>
      </c>
      <c r="C62" s="67" t="s">
        <v>163</v>
      </c>
      <c r="D62" s="67"/>
      <c r="E62" s="67"/>
      <c r="F62" s="67"/>
      <c r="G62" s="67"/>
      <c r="H62" s="67"/>
      <c r="I62" s="67"/>
      <c r="J62" s="67"/>
      <c r="K62" s="67"/>
      <c r="L62" s="1"/>
      <c r="M62" s="1"/>
      <c r="N62" s="1"/>
    </row>
    <row r="63" customFormat="false" ht="19.5" hidden="false" customHeight="true" outlineLevel="0" collapsed="false">
      <c r="A63" s="1"/>
      <c r="B63" s="69" t="s">
        <v>164</v>
      </c>
      <c r="C63" s="67" t="s">
        <v>165</v>
      </c>
      <c r="D63" s="67"/>
      <c r="E63" s="67"/>
      <c r="F63" s="67"/>
      <c r="G63" s="67"/>
      <c r="H63" s="67"/>
      <c r="I63" s="67"/>
      <c r="J63" s="67"/>
      <c r="K63" s="67"/>
      <c r="L63" s="1"/>
      <c r="M63" s="1"/>
      <c r="N63" s="1"/>
    </row>
    <row r="64" customFormat="false" ht="19.5" hidden="false" customHeight="true" outlineLevel="0" collapsed="false">
      <c r="A64" s="1"/>
      <c r="B64" s="70" t="s">
        <v>141</v>
      </c>
      <c r="C64" s="67" t="s">
        <v>166</v>
      </c>
      <c r="D64" s="67"/>
      <c r="E64" s="67"/>
      <c r="F64" s="67"/>
      <c r="G64" s="67"/>
      <c r="H64" s="67"/>
      <c r="I64" s="67"/>
      <c r="J64" s="67"/>
      <c r="K64" s="67"/>
      <c r="L64" s="1"/>
      <c r="M64" s="1"/>
      <c r="N64" s="1"/>
    </row>
    <row r="65" customFormat="false" ht="19.5" hidden="false" customHeight="true" outlineLevel="0" collapsed="false">
      <c r="A65" s="1"/>
      <c r="B65" s="71" t="s">
        <v>142</v>
      </c>
      <c r="C65" s="67" t="s">
        <v>167</v>
      </c>
      <c r="D65" s="67"/>
      <c r="E65" s="67"/>
      <c r="F65" s="67"/>
      <c r="G65" s="67"/>
      <c r="H65" s="67"/>
      <c r="I65" s="67"/>
      <c r="J65" s="67"/>
      <c r="K65" s="67"/>
      <c r="L65" s="1"/>
      <c r="M65" s="1"/>
      <c r="N65" s="1"/>
    </row>
    <row r="66" customFormat="false" ht="19.5" hidden="false" customHeight="true" outlineLevel="0" collapsed="false">
      <c r="A66" s="1"/>
      <c r="B66" s="72" t="s">
        <v>143</v>
      </c>
      <c r="C66" s="67" t="s">
        <v>168</v>
      </c>
      <c r="D66" s="67"/>
      <c r="E66" s="67"/>
      <c r="F66" s="67"/>
      <c r="G66" s="67"/>
      <c r="H66" s="67"/>
      <c r="I66" s="67"/>
      <c r="J66" s="67"/>
      <c r="K66" s="67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</sheetData>
  <mergeCells count="25">
    <mergeCell ref="B2:K2"/>
    <mergeCell ref="B3:K3"/>
    <mergeCell ref="B5:K5"/>
    <mergeCell ref="B25:K25"/>
    <mergeCell ref="B44:K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B60:K60"/>
    <mergeCell ref="C61:K61"/>
    <mergeCell ref="C62:K62"/>
    <mergeCell ref="C63:K63"/>
    <mergeCell ref="C64:K64"/>
    <mergeCell ref="C65:K65"/>
    <mergeCell ref="C66:K66"/>
  </mergeCells>
  <conditionalFormatting sqref="J7:J21">
    <cfRule type="cellIs" priority="2" operator="greaterThan" aboveAverage="0" equalAverage="0" bottom="0" percent="0" rank="0" text="" dxfId="3">
      <formula>0</formula>
    </cfRule>
    <cfRule type="dataBar" priority="3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{59968ED3-B060-404D-AD25-DC3BEE70403A}</x14:id>
        </ext>
      </extLst>
    </cfRule>
  </conditionalFormatting>
  <conditionalFormatting sqref="J27:J41">
    <cfRule type="cellIs" priority="4" operator="greaterThan" aboveAverage="0" equalAverage="0" bottom="0" percent="0" rank="0" text="" dxfId="3">
      <formula>0</formula>
    </cfRule>
    <cfRule type="dataBar" priority="5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{629D6DD5-D861-415E-9C2B-DE89FC9795D2}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968ED3-B060-404D-AD25-DC3BEE70403A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J7:J21</xm:sqref>
        </x14:conditionalFormatting>
        <x14:conditionalFormatting xmlns:xm="http://schemas.microsoft.com/office/excel/2006/main">
          <x14:cfRule type="dataBar" id="{629D6DD5-D861-415E-9C2B-DE89FC9795D2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J27:J41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14" min="8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169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1"/>
      <c r="B3" s="3" t="s">
        <v>170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10" t="s">
        <v>171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false" ht="31.5" hidden="false" customHeight="true" outlineLevel="0" collapsed="false">
      <c r="A6" s="1"/>
      <c r="B6" s="23" t="s">
        <v>98</v>
      </c>
      <c r="C6" s="23" t="s">
        <v>172</v>
      </c>
      <c r="D6" s="23" t="s">
        <v>173</v>
      </c>
      <c r="E6" s="23" t="s">
        <v>174</v>
      </c>
      <c r="F6" s="23" t="s">
        <v>175</v>
      </c>
      <c r="G6" s="23" t="s">
        <v>176</v>
      </c>
      <c r="H6" s="23" t="s">
        <v>145</v>
      </c>
      <c r="I6" s="23" t="s">
        <v>177</v>
      </c>
      <c r="J6" s="23" t="s">
        <v>178</v>
      </c>
      <c r="K6" s="23" t="s">
        <v>179</v>
      </c>
      <c r="L6" s="23" t="s">
        <v>180</v>
      </c>
      <c r="M6" s="23" t="s">
        <v>181</v>
      </c>
      <c r="N6" s="23" t="s">
        <v>182</v>
      </c>
      <c r="O6" s="23" t="s">
        <v>183</v>
      </c>
    </row>
    <row r="7" customFormat="false" ht="19.5" hidden="false" customHeight="true" outlineLevel="0" collapsed="false">
      <c r="A7" s="1"/>
      <c r="B7" s="45" t="s">
        <v>108</v>
      </c>
      <c r="C7" s="46" t="n">
        <f aca="false">SUMIFS(Raw_Meta!$L$6:$L$28,Raw_Meta!$E$6:$E$28,B7)</f>
        <v>35700</v>
      </c>
      <c r="D7" s="46" t="n">
        <f aca="false">IFERROR(SUMIFS(Raw_Meta!$L$6:$L$28,Raw_Meta!$E$6:$E$28,B7)*SUMIFS(Raw_Meta!$H$6:$H$28,Raw_Meta!$E$6:$E$28,B7)/SUMIFS(Raw_Meta!$G$6:$G$28,Raw_Meta!$E$6:$E$28,B7),0)</f>
        <v>3500</v>
      </c>
      <c r="E7" s="46" t="n">
        <f aca="false">C7-D7</f>
        <v>32200</v>
      </c>
      <c r="F7" s="73" t="n">
        <f aca="false">C7</f>
        <v>35700</v>
      </c>
      <c r="G7" s="74" t="n">
        <f aca="false">IFERROR(D7/C7,0)</f>
        <v>0.0980392156862745</v>
      </c>
      <c r="H7" s="62" t="n">
        <f aca="false">COUNTIFS(Raw_Meta!$E$6:$E$28,B7)</f>
        <v>6</v>
      </c>
      <c r="I7" s="37" t="n">
        <f aca="false">SUMIFS(Raw_Meta!$L$6:$L$28,Raw_Meta!$E$6:$E$28,B7,Raw_Meta!$N$6:$N$28,"Jan-25")</f>
        <v>5200</v>
      </c>
      <c r="J7" s="37" t="n">
        <f aca="false">SUMIFS(Raw_Meta!$L$6:$L$28,Raw_Meta!$E$6:$E$28,B7,Raw_Meta!$N$6:$N$28,"Feb-25")</f>
        <v>5500</v>
      </c>
      <c r="K7" s="37" t="n">
        <f aca="false">SUMIFS(Raw_Meta!$L$6:$L$28,Raw_Meta!$E$6:$E$28,B7,Raw_Meta!$N$6:$N$28,"Mar-25")</f>
        <v>5800</v>
      </c>
      <c r="L7" s="37" t="n">
        <f aca="false">SUMIFS(Raw_Meta!$L$6:$L$28,Raw_Meta!$E$6:$E$28,B7,Raw_Meta!$N$6:$N$28,"Apr-25")</f>
        <v>6100</v>
      </c>
      <c r="M7" s="37" t="n">
        <f aca="false">SUMIFS(Raw_Meta!$L$6:$L$28,Raw_Meta!$E$6:$E$28,B7,Raw_Meta!$N$6:$N$28,"May-25")</f>
        <v>6300</v>
      </c>
      <c r="N7" s="37" t="n">
        <f aca="false">SUMIFS(Raw_Meta!$L$6:$L$28,Raw_Meta!$E$6:$E$28,B7,Raw_Meta!$N$6:$N$28,"Jun-25")</f>
        <v>0</v>
      </c>
      <c r="O7" s="37" t="n">
        <f aca="false">SUMIFS(Raw_Meta!$L$6:$L$28,Raw_Meta!$E$6:$E$28,B7,Raw_Meta!$N$6:$N$28,"Jul-25")+SUMIFS(Raw_Meta!$L$6:$L$28,Raw_Meta!$E$6:$E$28,B7,Raw_Meta!$N$6:$N$28,"Aug-25")+SUMIFS(Raw_Meta!$L$6:$L$28,Raw_Meta!$E$6:$E$28,B7,Raw_Meta!$N$6:$N$28,"Sep-25")+SUMIFS(Raw_Meta!$L$6:$L$28,Raw_Meta!$E$6:$E$28,B7,Raw_Meta!$N$6:$N$28,"Oct-25")+SUMIFS(Raw_Meta!$L$6:$L$28,Raw_Meta!$E$6:$E$28,B7,Raw_Meta!$N$6:$N$28,"Nov-25")+SUMIFS(Raw_Meta!$L$6:$L$28,Raw_Meta!$E$6:$E$28,B7,Raw_Meta!$N$6:$N$28,"Dec-25")</f>
        <v>6800</v>
      </c>
    </row>
    <row r="8" customFormat="false" ht="19.5" hidden="false" customHeight="true" outlineLevel="0" collapsed="false">
      <c r="A8" s="1"/>
      <c r="B8" s="50" t="s">
        <v>110</v>
      </c>
      <c r="C8" s="51" t="n">
        <f aca="false">SUMIFS(Raw_Meta!$L$6:$L$28,Raw_Meta!$E$6:$E$28,B8)</f>
        <v>7800</v>
      </c>
      <c r="D8" s="51" t="n">
        <f aca="false">IFERROR(SUMIFS(Raw_Meta!$L$6:$L$28,Raw_Meta!$E$6:$E$28,B8)*SUMIFS(Raw_Meta!$H$6:$H$28,Raw_Meta!$E$6:$E$28,B8)/SUMIFS(Raw_Meta!$G$6:$G$28,Raw_Meta!$E$6:$E$28,B8),0)</f>
        <v>600</v>
      </c>
      <c r="E8" s="51" t="n">
        <f aca="false">C8-D8</f>
        <v>7200</v>
      </c>
      <c r="F8" s="73" t="n">
        <f aca="false">C8</f>
        <v>7800</v>
      </c>
      <c r="G8" s="75" t="n">
        <f aca="false">IFERROR(D8/C8,0)</f>
        <v>0.0769230769230769</v>
      </c>
      <c r="H8" s="64" t="n">
        <f aca="false">COUNTIFS(Raw_Meta!$E$6:$E$28,B8)</f>
        <v>2</v>
      </c>
      <c r="I8" s="39" t="n">
        <f aca="false">SUMIFS(Raw_Meta!$L$6:$L$28,Raw_Meta!$E$6:$E$28,B8,Raw_Meta!$N$6:$N$28,"Jan-25")</f>
        <v>3800</v>
      </c>
      <c r="J8" s="39" t="n">
        <f aca="false">SUMIFS(Raw_Meta!$L$6:$L$28,Raw_Meta!$E$6:$E$28,B8,Raw_Meta!$N$6:$N$28,"Feb-25")</f>
        <v>4000</v>
      </c>
      <c r="K8" s="39" t="n">
        <f aca="false">SUMIFS(Raw_Meta!$L$6:$L$28,Raw_Meta!$E$6:$E$28,B8,Raw_Meta!$N$6:$N$28,"Mar-25")</f>
        <v>0</v>
      </c>
      <c r="L8" s="39" t="n">
        <f aca="false">SUMIFS(Raw_Meta!$L$6:$L$28,Raw_Meta!$E$6:$E$28,B8,Raw_Meta!$N$6:$N$28,"Apr-25")</f>
        <v>0</v>
      </c>
      <c r="M8" s="39" t="n">
        <f aca="false">SUMIFS(Raw_Meta!$L$6:$L$28,Raw_Meta!$E$6:$E$28,B8,Raw_Meta!$N$6:$N$28,"May-25")</f>
        <v>0</v>
      </c>
      <c r="N8" s="39" t="n">
        <f aca="false">SUMIFS(Raw_Meta!$L$6:$L$28,Raw_Meta!$E$6:$E$28,B8,Raw_Meta!$N$6:$N$28,"Jun-25")</f>
        <v>0</v>
      </c>
      <c r="O8" s="39" t="n">
        <f aca="false">SUMIFS(Raw_Meta!$L$6:$L$28,Raw_Meta!$E$6:$E$28,B8,Raw_Meta!$N$6:$N$28,"Jul-25")+SUMIFS(Raw_Meta!$L$6:$L$28,Raw_Meta!$E$6:$E$28,B8,Raw_Meta!$N$6:$N$28,"Aug-25")+SUMIFS(Raw_Meta!$L$6:$L$28,Raw_Meta!$E$6:$E$28,B8,Raw_Meta!$N$6:$N$28,"Sep-25")+SUMIFS(Raw_Meta!$L$6:$L$28,Raw_Meta!$E$6:$E$28,B8,Raw_Meta!$N$6:$N$28,"Oct-25")+SUMIFS(Raw_Meta!$L$6:$L$28,Raw_Meta!$E$6:$E$28,B8,Raw_Meta!$N$6:$N$28,"Nov-25")+SUMIFS(Raw_Meta!$L$6:$L$28,Raw_Meta!$E$6:$E$28,B8,Raw_Meta!$N$6:$N$28,"Dec-25")</f>
        <v>0</v>
      </c>
    </row>
    <row r="9" customFormat="false" ht="19.5" hidden="false" customHeight="true" outlineLevel="0" collapsed="false">
      <c r="A9" s="1"/>
      <c r="B9" s="45" t="s">
        <v>111</v>
      </c>
      <c r="C9" s="46" t="n">
        <f aca="false">SUMIFS(Raw_Meta!$L$6:$L$28,Raw_Meta!$E$6:$E$28,B9)</f>
        <v>20400</v>
      </c>
      <c r="D9" s="46" t="n">
        <f aca="false">IFERROR(SUMIFS(Raw_Meta!$L$6:$L$28,Raw_Meta!$E$6:$E$28,B9)*SUMIFS(Raw_Meta!$H$6:$H$28,Raw_Meta!$E$6:$E$28,B9)/SUMIFS(Raw_Meta!$G$6:$G$28,Raw_Meta!$E$6:$E$28,B9),0)</f>
        <v>1650</v>
      </c>
      <c r="E9" s="46" t="n">
        <f aca="false">C9-D9</f>
        <v>18750</v>
      </c>
      <c r="F9" s="73" t="n">
        <f aca="false">C9</f>
        <v>20400</v>
      </c>
      <c r="G9" s="74" t="n">
        <f aca="false">IFERROR(D9/C9,0)</f>
        <v>0.0808823529411765</v>
      </c>
      <c r="H9" s="62" t="n">
        <f aca="false">COUNTIFS(Raw_Meta!$E$6:$E$28,B9)</f>
        <v>3</v>
      </c>
      <c r="I9" s="37" t="n">
        <f aca="false">SUMIFS(Raw_Meta!$L$6:$L$28,Raw_Meta!$E$6:$E$28,B9,Raw_Meta!$N$6:$N$28,"Jan-25")</f>
        <v>6500</v>
      </c>
      <c r="J9" s="37" t="n">
        <f aca="false">SUMIFS(Raw_Meta!$L$6:$L$28,Raw_Meta!$E$6:$E$28,B9,Raw_Meta!$N$6:$N$28,"Feb-25")</f>
        <v>6800</v>
      </c>
      <c r="K9" s="37" t="n">
        <f aca="false">SUMIFS(Raw_Meta!$L$6:$L$28,Raw_Meta!$E$6:$E$28,B9,Raw_Meta!$N$6:$N$28,"Mar-25")</f>
        <v>0</v>
      </c>
      <c r="L9" s="37" t="n">
        <f aca="false">SUMIFS(Raw_Meta!$L$6:$L$28,Raw_Meta!$E$6:$E$28,B9,Raw_Meta!$N$6:$N$28,"Apr-25")</f>
        <v>0</v>
      </c>
      <c r="M9" s="37" t="n">
        <f aca="false">SUMIFS(Raw_Meta!$L$6:$L$28,Raw_Meta!$E$6:$E$28,B9,Raw_Meta!$N$6:$N$28,"May-25")</f>
        <v>7100</v>
      </c>
      <c r="N9" s="37" t="n">
        <f aca="false">SUMIFS(Raw_Meta!$L$6:$L$28,Raw_Meta!$E$6:$E$28,B9,Raw_Meta!$N$6:$N$28,"Jun-25")</f>
        <v>0</v>
      </c>
      <c r="O9" s="37" t="n">
        <f aca="false">SUMIFS(Raw_Meta!$L$6:$L$28,Raw_Meta!$E$6:$E$28,B9,Raw_Meta!$N$6:$N$28,"Jul-25")+SUMIFS(Raw_Meta!$L$6:$L$28,Raw_Meta!$E$6:$E$28,B9,Raw_Meta!$N$6:$N$28,"Aug-25")+SUMIFS(Raw_Meta!$L$6:$L$28,Raw_Meta!$E$6:$E$28,B9,Raw_Meta!$N$6:$N$28,"Sep-25")+SUMIFS(Raw_Meta!$L$6:$L$28,Raw_Meta!$E$6:$E$28,B9,Raw_Meta!$N$6:$N$28,"Oct-25")+SUMIFS(Raw_Meta!$L$6:$L$28,Raw_Meta!$E$6:$E$28,B9,Raw_Meta!$N$6:$N$28,"Nov-25")+SUMIFS(Raw_Meta!$L$6:$L$28,Raw_Meta!$E$6:$E$28,B9,Raw_Meta!$N$6:$N$28,"Dec-25")</f>
        <v>0</v>
      </c>
    </row>
    <row r="10" customFormat="false" ht="19.5" hidden="false" customHeight="true" outlineLevel="0" collapsed="false">
      <c r="A10" s="1"/>
      <c r="B10" s="50" t="s">
        <v>120</v>
      </c>
      <c r="C10" s="51" t="n">
        <f aca="false">SUMIFS(Raw_Meta!$L$6:$L$28,Raw_Meta!$E$6:$E$28,B10)</f>
        <v>8700</v>
      </c>
      <c r="D10" s="51" t="n">
        <f aca="false">IFERROR(SUMIFS(Raw_Meta!$L$6:$L$28,Raw_Meta!$E$6:$E$28,B10)*SUMIFS(Raw_Meta!$H$6:$H$28,Raw_Meta!$E$6:$E$28,B10)/SUMIFS(Raw_Meta!$G$6:$G$28,Raw_Meta!$E$6:$E$28,B10),0)</f>
        <v>750</v>
      </c>
      <c r="E10" s="51" t="n">
        <f aca="false">C10-D10</f>
        <v>7950</v>
      </c>
      <c r="F10" s="73" t="n">
        <f aca="false">C10</f>
        <v>8700</v>
      </c>
      <c r="G10" s="75" t="n">
        <f aca="false">IFERROR(D10/C10,0)</f>
        <v>0.0862068965517241</v>
      </c>
      <c r="H10" s="64" t="n">
        <f aca="false">COUNTIFS(Raw_Meta!$E$6:$E$28,B10)</f>
        <v>2</v>
      </c>
      <c r="I10" s="39" t="n">
        <f aca="false">SUMIFS(Raw_Meta!$L$6:$L$28,Raw_Meta!$E$6:$E$28,B10,Raw_Meta!$N$6:$N$28,"Jan-25")</f>
        <v>4200</v>
      </c>
      <c r="J10" s="39" t="n">
        <f aca="false">SUMIFS(Raw_Meta!$L$6:$L$28,Raw_Meta!$E$6:$E$28,B10,Raw_Meta!$N$6:$N$28,"Feb-25")</f>
        <v>0</v>
      </c>
      <c r="K10" s="39" t="n">
        <f aca="false">SUMIFS(Raw_Meta!$L$6:$L$28,Raw_Meta!$E$6:$E$28,B10,Raw_Meta!$N$6:$N$28,"Mar-25")</f>
        <v>0</v>
      </c>
      <c r="L10" s="39" t="n">
        <f aca="false">SUMIFS(Raw_Meta!$L$6:$L$28,Raw_Meta!$E$6:$E$28,B10,Raw_Meta!$N$6:$N$28,"Apr-25")</f>
        <v>0</v>
      </c>
      <c r="M10" s="39" t="n">
        <f aca="false">SUMIFS(Raw_Meta!$L$6:$L$28,Raw_Meta!$E$6:$E$28,B10,Raw_Meta!$N$6:$N$28,"May-25")</f>
        <v>0</v>
      </c>
      <c r="N10" s="39" t="n">
        <f aca="false">SUMIFS(Raw_Meta!$L$6:$L$28,Raw_Meta!$E$6:$E$28,B10,Raw_Meta!$N$6:$N$28,"Jun-25")</f>
        <v>0</v>
      </c>
      <c r="O10" s="39" t="n">
        <f aca="false">SUMIFS(Raw_Meta!$L$6:$L$28,Raw_Meta!$E$6:$E$28,B10,Raw_Meta!$N$6:$N$28,"Jul-25")+SUMIFS(Raw_Meta!$L$6:$L$28,Raw_Meta!$E$6:$E$28,B10,Raw_Meta!$N$6:$N$28,"Aug-25")+SUMIFS(Raw_Meta!$L$6:$L$28,Raw_Meta!$E$6:$E$28,B10,Raw_Meta!$N$6:$N$28,"Sep-25")+SUMIFS(Raw_Meta!$L$6:$L$28,Raw_Meta!$E$6:$E$28,B10,Raw_Meta!$N$6:$N$28,"Oct-25")+SUMIFS(Raw_Meta!$L$6:$L$28,Raw_Meta!$E$6:$E$28,B10,Raw_Meta!$N$6:$N$28,"Nov-25")+SUMIFS(Raw_Meta!$L$6:$L$28,Raw_Meta!$E$6:$E$28,B10,Raw_Meta!$N$6:$N$28,"Dec-25")</f>
        <v>4500</v>
      </c>
    </row>
    <row r="11" customFormat="false" ht="19.5" hidden="false" customHeight="true" outlineLevel="0" collapsed="false">
      <c r="A11" s="1"/>
      <c r="B11" s="45" t="s">
        <v>114</v>
      </c>
      <c r="C11" s="46" t="n">
        <f aca="false">SUMIFS(Raw_Meta!$L$6:$L$28,Raw_Meta!$E$6:$E$28,B11)</f>
        <v>4500</v>
      </c>
      <c r="D11" s="46" t="n">
        <f aca="false">IFERROR(SUMIFS(Raw_Meta!$L$6:$L$28,Raw_Meta!$E$6:$E$28,B11)*SUMIFS(Raw_Meta!$H$6:$H$28,Raw_Meta!$E$6:$E$28,B11)/SUMIFS(Raw_Meta!$G$6:$G$28,Raw_Meta!$E$6:$E$28,B11),0)</f>
        <v>400</v>
      </c>
      <c r="E11" s="46" t="n">
        <f aca="false">C11-D11</f>
        <v>4100</v>
      </c>
      <c r="F11" s="73" t="n">
        <f aca="false">C11</f>
        <v>4500</v>
      </c>
      <c r="G11" s="74" t="n">
        <f aca="false">IFERROR(D11/C11,0)</f>
        <v>0.0888888888888889</v>
      </c>
      <c r="H11" s="62" t="n">
        <f aca="false">COUNTIFS(Raw_Meta!$E$6:$E$28,B11)</f>
        <v>1</v>
      </c>
      <c r="I11" s="37" t="n">
        <f aca="false">SUMIFS(Raw_Meta!$L$6:$L$28,Raw_Meta!$E$6:$E$28,B11,Raw_Meta!$N$6:$N$28,"Jan-25")</f>
        <v>0</v>
      </c>
      <c r="J11" s="37" t="n">
        <f aca="false">SUMIFS(Raw_Meta!$L$6:$L$28,Raw_Meta!$E$6:$E$28,B11,Raw_Meta!$N$6:$N$28,"Feb-25")</f>
        <v>0</v>
      </c>
      <c r="K11" s="37" t="n">
        <f aca="false">SUMIFS(Raw_Meta!$L$6:$L$28,Raw_Meta!$E$6:$E$28,B11,Raw_Meta!$N$6:$N$28,"Mar-25")</f>
        <v>4500</v>
      </c>
      <c r="L11" s="37" t="n">
        <f aca="false">SUMIFS(Raw_Meta!$L$6:$L$28,Raw_Meta!$E$6:$E$28,B11,Raw_Meta!$N$6:$N$28,"Apr-25")</f>
        <v>0</v>
      </c>
      <c r="M11" s="37" t="n">
        <f aca="false">SUMIFS(Raw_Meta!$L$6:$L$28,Raw_Meta!$E$6:$E$28,B11,Raw_Meta!$N$6:$N$28,"May-25")</f>
        <v>0</v>
      </c>
      <c r="N11" s="37" t="n">
        <f aca="false">SUMIFS(Raw_Meta!$L$6:$L$28,Raw_Meta!$E$6:$E$28,B11,Raw_Meta!$N$6:$N$28,"Jun-25")</f>
        <v>0</v>
      </c>
      <c r="O11" s="37" t="n">
        <f aca="false">SUMIFS(Raw_Meta!$L$6:$L$28,Raw_Meta!$E$6:$E$28,B11,Raw_Meta!$N$6:$N$28,"Jul-25")+SUMIFS(Raw_Meta!$L$6:$L$28,Raw_Meta!$E$6:$E$28,B11,Raw_Meta!$N$6:$N$28,"Aug-25")+SUMIFS(Raw_Meta!$L$6:$L$28,Raw_Meta!$E$6:$E$28,B11,Raw_Meta!$N$6:$N$28,"Sep-25")+SUMIFS(Raw_Meta!$L$6:$L$28,Raw_Meta!$E$6:$E$28,B11,Raw_Meta!$N$6:$N$28,"Oct-25")+SUMIFS(Raw_Meta!$L$6:$L$28,Raw_Meta!$E$6:$E$28,B11,Raw_Meta!$N$6:$N$28,"Nov-25")+SUMIFS(Raw_Meta!$L$6:$L$28,Raw_Meta!$E$6:$E$28,B11,Raw_Meta!$N$6:$N$28,"Dec-25")</f>
        <v>0</v>
      </c>
    </row>
    <row r="12" customFormat="false" ht="19.5" hidden="false" customHeight="true" outlineLevel="0" collapsed="false">
      <c r="A12" s="1"/>
      <c r="B12" s="50" t="s">
        <v>115</v>
      </c>
      <c r="C12" s="51" t="n">
        <f aca="false">SUMIFS(Raw_Meta!$L$6:$L$28,Raw_Meta!$E$6:$E$28,B12)</f>
        <v>7200</v>
      </c>
      <c r="D12" s="51" t="n">
        <f aca="false">IFERROR(SUMIFS(Raw_Meta!$L$6:$L$28,Raw_Meta!$E$6:$E$28,B12)*SUMIFS(Raw_Meta!$H$6:$H$28,Raw_Meta!$E$6:$E$28,B12)/SUMIFS(Raw_Meta!$G$6:$G$28,Raw_Meta!$E$6:$E$28,B12),0)</f>
        <v>600</v>
      </c>
      <c r="E12" s="51" t="n">
        <f aca="false">C12-D12</f>
        <v>6600</v>
      </c>
      <c r="F12" s="73" t="n">
        <f aca="false">C12</f>
        <v>7200</v>
      </c>
      <c r="G12" s="75" t="n">
        <f aca="false">IFERROR(D12/C12,0)</f>
        <v>0.0833333333333333</v>
      </c>
      <c r="H12" s="64" t="n">
        <f aca="false">COUNTIFS(Raw_Meta!$E$6:$E$28,B12)</f>
        <v>1</v>
      </c>
      <c r="I12" s="39" t="n">
        <f aca="false">SUMIFS(Raw_Meta!$L$6:$L$28,Raw_Meta!$E$6:$E$28,B12,Raw_Meta!$N$6:$N$28,"Jan-25")</f>
        <v>0</v>
      </c>
      <c r="J12" s="39" t="n">
        <f aca="false">SUMIFS(Raw_Meta!$L$6:$L$28,Raw_Meta!$E$6:$E$28,B12,Raw_Meta!$N$6:$N$28,"Feb-25")</f>
        <v>0</v>
      </c>
      <c r="K12" s="39" t="n">
        <f aca="false">SUMIFS(Raw_Meta!$L$6:$L$28,Raw_Meta!$E$6:$E$28,B12,Raw_Meta!$N$6:$N$28,"Mar-25")</f>
        <v>7200</v>
      </c>
      <c r="L12" s="39" t="n">
        <f aca="false">SUMIFS(Raw_Meta!$L$6:$L$28,Raw_Meta!$E$6:$E$28,B12,Raw_Meta!$N$6:$N$28,"Apr-25")</f>
        <v>0</v>
      </c>
      <c r="M12" s="39" t="n">
        <f aca="false">SUMIFS(Raw_Meta!$L$6:$L$28,Raw_Meta!$E$6:$E$28,B12,Raw_Meta!$N$6:$N$28,"May-25")</f>
        <v>0</v>
      </c>
      <c r="N12" s="39" t="n">
        <f aca="false">SUMIFS(Raw_Meta!$L$6:$L$28,Raw_Meta!$E$6:$E$28,B12,Raw_Meta!$N$6:$N$28,"Jun-25")</f>
        <v>0</v>
      </c>
      <c r="O12" s="39" t="n">
        <f aca="false">SUMIFS(Raw_Meta!$L$6:$L$28,Raw_Meta!$E$6:$E$28,B12,Raw_Meta!$N$6:$N$28,"Jul-25")+SUMIFS(Raw_Meta!$L$6:$L$28,Raw_Meta!$E$6:$E$28,B12,Raw_Meta!$N$6:$N$28,"Aug-25")+SUMIFS(Raw_Meta!$L$6:$L$28,Raw_Meta!$E$6:$E$28,B12,Raw_Meta!$N$6:$N$28,"Sep-25")+SUMIFS(Raw_Meta!$L$6:$L$28,Raw_Meta!$E$6:$E$28,B12,Raw_Meta!$N$6:$N$28,"Oct-25")+SUMIFS(Raw_Meta!$L$6:$L$28,Raw_Meta!$E$6:$E$28,B12,Raw_Meta!$N$6:$N$28,"Nov-25")+SUMIFS(Raw_Meta!$L$6:$L$28,Raw_Meta!$E$6:$E$28,B12,Raw_Meta!$N$6:$N$28,"Dec-25")</f>
        <v>0</v>
      </c>
    </row>
    <row r="13" customFormat="false" ht="19.5" hidden="false" customHeight="true" outlineLevel="0" collapsed="false">
      <c r="A13" s="1"/>
      <c r="B13" s="45" t="s">
        <v>122</v>
      </c>
      <c r="C13" s="46" t="n">
        <f aca="false">SUMIFS(Raw_Meta!$L$6:$L$28,Raw_Meta!$E$6:$E$28,B13)</f>
        <v>8500</v>
      </c>
      <c r="D13" s="46" t="n">
        <f aca="false">IFERROR(SUMIFS(Raw_Meta!$L$6:$L$28,Raw_Meta!$E$6:$E$28,B13)*SUMIFS(Raw_Meta!$H$6:$H$28,Raw_Meta!$E$6:$E$28,B13)/SUMIFS(Raw_Meta!$G$6:$G$28,Raw_Meta!$E$6:$E$28,B13),0)</f>
        <v>700</v>
      </c>
      <c r="E13" s="46" t="n">
        <f aca="false">C13-D13</f>
        <v>7800</v>
      </c>
      <c r="F13" s="73" t="n">
        <f aca="false">C13</f>
        <v>8500</v>
      </c>
      <c r="G13" s="74" t="n">
        <f aca="false">IFERROR(D13/C13,0)</f>
        <v>0.0823529411764706</v>
      </c>
      <c r="H13" s="62" t="n">
        <f aca="false">COUNTIFS(Raw_Meta!$E$6:$E$28,B13)</f>
        <v>1</v>
      </c>
      <c r="I13" s="37" t="n">
        <f aca="false">SUMIFS(Raw_Meta!$L$6:$L$28,Raw_Meta!$E$6:$E$28,B13,Raw_Meta!$N$6:$N$28,"Jan-25")</f>
        <v>0</v>
      </c>
      <c r="J13" s="37" t="n">
        <f aca="false">SUMIFS(Raw_Meta!$L$6:$L$28,Raw_Meta!$E$6:$E$28,B13,Raw_Meta!$N$6:$N$28,"Feb-25")</f>
        <v>0</v>
      </c>
      <c r="K13" s="37" t="n">
        <f aca="false">SUMIFS(Raw_Meta!$L$6:$L$28,Raw_Meta!$E$6:$E$28,B13,Raw_Meta!$N$6:$N$28,"Mar-25")</f>
        <v>8500</v>
      </c>
      <c r="L13" s="37" t="n">
        <f aca="false">SUMIFS(Raw_Meta!$L$6:$L$28,Raw_Meta!$E$6:$E$28,B13,Raw_Meta!$N$6:$N$28,"Apr-25")</f>
        <v>0</v>
      </c>
      <c r="M13" s="37" t="n">
        <f aca="false">SUMIFS(Raw_Meta!$L$6:$L$28,Raw_Meta!$E$6:$E$28,B13,Raw_Meta!$N$6:$N$28,"May-25")</f>
        <v>0</v>
      </c>
      <c r="N13" s="37" t="n">
        <f aca="false">SUMIFS(Raw_Meta!$L$6:$L$28,Raw_Meta!$E$6:$E$28,B13,Raw_Meta!$N$6:$N$28,"Jun-25")</f>
        <v>0</v>
      </c>
      <c r="O13" s="37" t="n">
        <f aca="false">SUMIFS(Raw_Meta!$L$6:$L$28,Raw_Meta!$E$6:$E$28,B13,Raw_Meta!$N$6:$N$28,"Jul-25")+SUMIFS(Raw_Meta!$L$6:$L$28,Raw_Meta!$E$6:$E$28,B13,Raw_Meta!$N$6:$N$28,"Aug-25")+SUMIFS(Raw_Meta!$L$6:$L$28,Raw_Meta!$E$6:$E$28,B13,Raw_Meta!$N$6:$N$28,"Sep-25")+SUMIFS(Raw_Meta!$L$6:$L$28,Raw_Meta!$E$6:$E$28,B13,Raw_Meta!$N$6:$N$28,"Oct-25")+SUMIFS(Raw_Meta!$L$6:$L$28,Raw_Meta!$E$6:$E$28,B13,Raw_Meta!$N$6:$N$28,"Nov-25")+SUMIFS(Raw_Meta!$L$6:$L$28,Raw_Meta!$E$6:$E$28,B13,Raw_Meta!$N$6:$N$28,"Dec-25")</f>
        <v>0</v>
      </c>
    </row>
    <row r="14" customFormat="false" ht="19.5" hidden="false" customHeight="true" outlineLevel="0" collapsed="false">
      <c r="A14" s="1"/>
      <c r="B14" s="50" t="s">
        <v>124</v>
      </c>
      <c r="C14" s="51" t="n">
        <f aca="false">SUMIFS(Raw_Meta!$L$6:$L$28,Raw_Meta!$E$6:$E$28,B14)</f>
        <v>4300</v>
      </c>
      <c r="D14" s="51" t="n">
        <f aca="false">IFERROR(SUMIFS(Raw_Meta!$L$6:$L$28,Raw_Meta!$E$6:$E$28,B14)*SUMIFS(Raw_Meta!$H$6:$H$28,Raw_Meta!$E$6:$E$28,B14)/SUMIFS(Raw_Meta!$G$6:$G$28,Raw_Meta!$E$6:$E$28,B14),0)</f>
        <v>350</v>
      </c>
      <c r="E14" s="51" t="n">
        <f aca="false">C14-D14</f>
        <v>3950</v>
      </c>
      <c r="F14" s="73" t="n">
        <f aca="false">C14</f>
        <v>4300</v>
      </c>
      <c r="G14" s="75" t="n">
        <f aca="false">IFERROR(D14/C14,0)</f>
        <v>0.0813953488372093</v>
      </c>
      <c r="H14" s="64" t="n">
        <f aca="false">COUNTIFS(Raw_Meta!$E$6:$E$28,B14)</f>
        <v>1</v>
      </c>
      <c r="I14" s="39" t="n">
        <f aca="false">SUMIFS(Raw_Meta!$L$6:$L$28,Raw_Meta!$E$6:$E$28,B14,Raw_Meta!$N$6:$N$28,"Jan-25")</f>
        <v>0</v>
      </c>
      <c r="J14" s="39" t="n">
        <f aca="false">SUMIFS(Raw_Meta!$L$6:$L$28,Raw_Meta!$E$6:$E$28,B14,Raw_Meta!$N$6:$N$28,"Feb-25")</f>
        <v>0</v>
      </c>
      <c r="K14" s="39" t="n">
        <f aca="false">SUMIFS(Raw_Meta!$L$6:$L$28,Raw_Meta!$E$6:$E$28,B14,Raw_Meta!$N$6:$N$28,"Mar-25")</f>
        <v>4300</v>
      </c>
      <c r="L14" s="39" t="n">
        <f aca="false">SUMIFS(Raw_Meta!$L$6:$L$28,Raw_Meta!$E$6:$E$28,B14,Raw_Meta!$N$6:$N$28,"Apr-25")</f>
        <v>0</v>
      </c>
      <c r="M14" s="39" t="n">
        <f aca="false">SUMIFS(Raw_Meta!$L$6:$L$28,Raw_Meta!$E$6:$E$28,B14,Raw_Meta!$N$6:$N$28,"May-25")</f>
        <v>0</v>
      </c>
      <c r="N14" s="39" t="n">
        <f aca="false">SUMIFS(Raw_Meta!$L$6:$L$28,Raw_Meta!$E$6:$E$28,B14,Raw_Meta!$N$6:$N$28,"Jun-25")</f>
        <v>0</v>
      </c>
      <c r="O14" s="39" t="n">
        <f aca="false">SUMIFS(Raw_Meta!$L$6:$L$28,Raw_Meta!$E$6:$E$28,B14,Raw_Meta!$N$6:$N$28,"Jul-25")+SUMIFS(Raw_Meta!$L$6:$L$28,Raw_Meta!$E$6:$E$28,B14,Raw_Meta!$N$6:$N$28,"Aug-25")+SUMIFS(Raw_Meta!$L$6:$L$28,Raw_Meta!$E$6:$E$28,B14,Raw_Meta!$N$6:$N$28,"Sep-25")+SUMIFS(Raw_Meta!$L$6:$L$28,Raw_Meta!$E$6:$E$28,B14,Raw_Meta!$N$6:$N$28,"Oct-25")+SUMIFS(Raw_Meta!$L$6:$L$28,Raw_Meta!$E$6:$E$28,B14,Raw_Meta!$N$6:$N$28,"Nov-25")+SUMIFS(Raw_Meta!$L$6:$L$28,Raw_Meta!$E$6:$E$28,B14,Raw_Meta!$N$6:$N$28,"Dec-25")</f>
        <v>0</v>
      </c>
    </row>
    <row r="15" customFormat="false" ht="19.5" hidden="false" customHeight="true" outlineLevel="0" collapsed="false">
      <c r="A15" s="1"/>
      <c r="B15" s="45" t="s">
        <v>125</v>
      </c>
      <c r="C15" s="46" t="n">
        <f aca="false">SUMIFS(Raw_Meta!$L$6:$L$28,Raw_Meta!$E$6:$E$28,B15)</f>
        <v>3200</v>
      </c>
      <c r="D15" s="46" t="n">
        <f aca="false">IFERROR(SUMIFS(Raw_Meta!$L$6:$L$28,Raw_Meta!$E$6:$E$28,B15)*SUMIFS(Raw_Meta!$H$6:$H$28,Raw_Meta!$E$6:$E$28,B15)/SUMIFS(Raw_Meta!$G$6:$G$28,Raw_Meta!$E$6:$E$28,B15),0)</f>
        <v>250</v>
      </c>
      <c r="E15" s="46" t="n">
        <f aca="false">C15-D15</f>
        <v>2950</v>
      </c>
      <c r="F15" s="73" t="n">
        <f aca="false">C15</f>
        <v>3200</v>
      </c>
      <c r="G15" s="74" t="n">
        <f aca="false">IFERROR(D15/C15,0)</f>
        <v>0.078125</v>
      </c>
      <c r="H15" s="62" t="n">
        <f aca="false">COUNTIFS(Raw_Meta!$E$6:$E$28,B15)</f>
        <v>1</v>
      </c>
      <c r="I15" s="37" t="n">
        <f aca="false">SUMIFS(Raw_Meta!$L$6:$L$28,Raw_Meta!$E$6:$E$28,B15,Raw_Meta!$N$6:$N$28,"Jan-25")</f>
        <v>0</v>
      </c>
      <c r="J15" s="37" t="n">
        <f aca="false">SUMIFS(Raw_Meta!$L$6:$L$28,Raw_Meta!$E$6:$E$28,B15,Raw_Meta!$N$6:$N$28,"Feb-25")</f>
        <v>0</v>
      </c>
      <c r="K15" s="37" t="n">
        <f aca="false">SUMIFS(Raw_Meta!$L$6:$L$28,Raw_Meta!$E$6:$E$28,B15,Raw_Meta!$N$6:$N$28,"Mar-25")</f>
        <v>0</v>
      </c>
      <c r="L15" s="37" t="n">
        <f aca="false">SUMIFS(Raw_Meta!$L$6:$L$28,Raw_Meta!$E$6:$E$28,B15,Raw_Meta!$N$6:$N$28,"Apr-25")</f>
        <v>3200</v>
      </c>
      <c r="M15" s="37" t="n">
        <f aca="false">SUMIFS(Raw_Meta!$L$6:$L$28,Raw_Meta!$E$6:$E$28,B15,Raw_Meta!$N$6:$N$28,"May-25")</f>
        <v>0</v>
      </c>
      <c r="N15" s="37" t="n">
        <f aca="false">SUMIFS(Raw_Meta!$L$6:$L$28,Raw_Meta!$E$6:$E$28,B15,Raw_Meta!$N$6:$N$28,"Jun-25")</f>
        <v>0</v>
      </c>
      <c r="O15" s="37" t="n">
        <f aca="false">SUMIFS(Raw_Meta!$L$6:$L$28,Raw_Meta!$E$6:$E$28,B15,Raw_Meta!$N$6:$N$28,"Jul-25")+SUMIFS(Raw_Meta!$L$6:$L$28,Raw_Meta!$E$6:$E$28,B15,Raw_Meta!$N$6:$N$28,"Aug-25")+SUMIFS(Raw_Meta!$L$6:$L$28,Raw_Meta!$E$6:$E$28,B15,Raw_Meta!$N$6:$N$28,"Sep-25")+SUMIFS(Raw_Meta!$L$6:$L$28,Raw_Meta!$E$6:$E$28,B15,Raw_Meta!$N$6:$N$28,"Oct-25")+SUMIFS(Raw_Meta!$L$6:$L$28,Raw_Meta!$E$6:$E$28,B15,Raw_Meta!$N$6:$N$28,"Nov-25")+SUMIFS(Raw_Meta!$L$6:$L$28,Raw_Meta!$E$6:$E$28,B15,Raw_Meta!$N$6:$N$28,"Dec-25")</f>
        <v>0</v>
      </c>
    </row>
    <row r="16" customFormat="false" ht="19.5" hidden="false" customHeight="true" outlineLevel="0" collapsed="false">
      <c r="A16" s="1"/>
      <c r="B16" s="50" t="s">
        <v>123</v>
      </c>
      <c r="C16" s="51" t="n">
        <f aca="false">SUMIFS(Raw_Meta!$L$6:$L$28,Raw_Meta!$E$6:$E$28,B16)</f>
        <v>3900</v>
      </c>
      <c r="D16" s="51" t="n">
        <f aca="false">IFERROR(SUMIFS(Raw_Meta!$L$6:$L$28,Raw_Meta!$E$6:$E$28,B16)*SUMIFS(Raw_Meta!$H$6:$H$28,Raw_Meta!$E$6:$E$28,B16)/SUMIFS(Raw_Meta!$G$6:$G$28,Raw_Meta!$E$6:$E$28,B16),0)</f>
        <v>300</v>
      </c>
      <c r="E16" s="51" t="n">
        <f aca="false">C16-D16</f>
        <v>3600</v>
      </c>
      <c r="F16" s="73" t="n">
        <f aca="false">C16</f>
        <v>3900</v>
      </c>
      <c r="G16" s="75" t="n">
        <f aca="false">IFERROR(D16/C16,0)</f>
        <v>0.0769230769230769</v>
      </c>
      <c r="H16" s="64" t="n">
        <f aca="false">COUNTIFS(Raw_Meta!$E$6:$E$28,B16)</f>
        <v>1</v>
      </c>
      <c r="I16" s="39" t="n">
        <f aca="false">SUMIFS(Raw_Meta!$L$6:$L$28,Raw_Meta!$E$6:$E$28,B16,Raw_Meta!$N$6:$N$28,"Jan-25")</f>
        <v>0</v>
      </c>
      <c r="J16" s="39" t="n">
        <f aca="false">SUMIFS(Raw_Meta!$L$6:$L$28,Raw_Meta!$E$6:$E$28,B16,Raw_Meta!$N$6:$N$28,"Feb-25")</f>
        <v>0</v>
      </c>
      <c r="K16" s="39" t="n">
        <f aca="false">SUMIFS(Raw_Meta!$L$6:$L$28,Raw_Meta!$E$6:$E$28,B16,Raw_Meta!$N$6:$N$28,"Mar-25")</f>
        <v>0</v>
      </c>
      <c r="L16" s="39" t="n">
        <f aca="false">SUMIFS(Raw_Meta!$L$6:$L$28,Raw_Meta!$E$6:$E$28,B16,Raw_Meta!$N$6:$N$28,"Apr-25")</f>
        <v>0</v>
      </c>
      <c r="M16" s="39" t="n">
        <f aca="false">SUMIFS(Raw_Meta!$L$6:$L$28,Raw_Meta!$E$6:$E$28,B16,Raw_Meta!$N$6:$N$28,"May-25")</f>
        <v>3900</v>
      </c>
      <c r="N16" s="39" t="n">
        <f aca="false">SUMIFS(Raw_Meta!$L$6:$L$28,Raw_Meta!$E$6:$E$28,B16,Raw_Meta!$N$6:$N$28,"Jun-25")</f>
        <v>0</v>
      </c>
      <c r="O16" s="39" t="n">
        <f aca="false">SUMIFS(Raw_Meta!$L$6:$L$28,Raw_Meta!$E$6:$E$28,B16,Raw_Meta!$N$6:$N$28,"Jul-25")+SUMIFS(Raw_Meta!$L$6:$L$28,Raw_Meta!$E$6:$E$28,B16,Raw_Meta!$N$6:$N$28,"Aug-25")+SUMIFS(Raw_Meta!$L$6:$L$28,Raw_Meta!$E$6:$E$28,B16,Raw_Meta!$N$6:$N$28,"Sep-25")+SUMIFS(Raw_Meta!$L$6:$L$28,Raw_Meta!$E$6:$E$28,B16,Raw_Meta!$N$6:$N$28,"Oct-25")+SUMIFS(Raw_Meta!$L$6:$L$28,Raw_Meta!$E$6:$E$28,B16,Raw_Meta!$N$6:$N$28,"Nov-25")+SUMIFS(Raw_Meta!$L$6:$L$28,Raw_Meta!$E$6:$E$28,B16,Raw_Meta!$N$6:$N$28,"Dec-25")</f>
        <v>0</v>
      </c>
    </row>
    <row r="17" customFormat="false" ht="19.5" hidden="false" customHeight="true" outlineLevel="0" collapsed="false">
      <c r="A17" s="1"/>
      <c r="B17" s="45" t="s">
        <v>113</v>
      </c>
      <c r="C17" s="46" t="n">
        <f aca="false">SUMIFS(Raw_Meta!$L$6:$L$28,Raw_Meta!$E$6:$E$28,B17)</f>
        <v>6600</v>
      </c>
      <c r="D17" s="46" t="n">
        <f aca="false">IFERROR(SUMIFS(Raw_Meta!$L$6:$L$28,Raw_Meta!$E$6:$E$28,B17)*SUMIFS(Raw_Meta!$H$6:$H$28,Raw_Meta!$E$6:$E$28,B17)/SUMIFS(Raw_Meta!$G$6:$G$28,Raw_Meta!$E$6:$E$28,B17),0)</f>
        <v>700</v>
      </c>
      <c r="E17" s="46" t="n">
        <f aca="false">C17-D17</f>
        <v>5900</v>
      </c>
      <c r="F17" s="73" t="n">
        <f aca="false">C17</f>
        <v>6600</v>
      </c>
      <c r="G17" s="74" t="n">
        <f aca="false">IFERROR(D17/C17,0)</f>
        <v>0.106060606060606</v>
      </c>
      <c r="H17" s="62" t="n">
        <f aca="false">COUNTIFS(Raw_Meta!$E$6:$E$28,B17)</f>
        <v>1</v>
      </c>
      <c r="I17" s="37" t="n">
        <f aca="false">SUMIFS(Raw_Meta!$L$6:$L$28,Raw_Meta!$E$6:$E$28,B17,Raw_Meta!$N$6:$N$28,"Jan-25")</f>
        <v>0</v>
      </c>
      <c r="J17" s="37" t="n">
        <f aca="false">SUMIFS(Raw_Meta!$L$6:$L$28,Raw_Meta!$E$6:$E$28,B17,Raw_Meta!$N$6:$N$28,"Feb-25")</f>
        <v>0</v>
      </c>
      <c r="K17" s="37" t="n">
        <f aca="false">SUMIFS(Raw_Meta!$L$6:$L$28,Raw_Meta!$E$6:$E$28,B17,Raw_Meta!$N$6:$N$28,"Mar-25")</f>
        <v>0</v>
      </c>
      <c r="L17" s="37" t="n">
        <f aca="false">SUMIFS(Raw_Meta!$L$6:$L$28,Raw_Meta!$E$6:$E$28,B17,Raw_Meta!$N$6:$N$28,"Apr-25")</f>
        <v>0</v>
      </c>
      <c r="M17" s="37" t="n">
        <f aca="false">SUMIFS(Raw_Meta!$L$6:$L$28,Raw_Meta!$E$6:$E$28,B17,Raw_Meta!$N$6:$N$28,"May-25")</f>
        <v>0</v>
      </c>
      <c r="N17" s="37" t="n">
        <f aca="false">SUMIFS(Raw_Meta!$L$6:$L$28,Raw_Meta!$E$6:$E$28,B17,Raw_Meta!$N$6:$N$28,"Jun-25")</f>
        <v>6600</v>
      </c>
      <c r="O17" s="37" t="n">
        <f aca="false">SUMIFS(Raw_Meta!$L$6:$L$28,Raw_Meta!$E$6:$E$28,B17,Raw_Meta!$N$6:$N$28,"Jul-25")+SUMIFS(Raw_Meta!$L$6:$L$28,Raw_Meta!$E$6:$E$28,B17,Raw_Meta!$N$6:$N$28,"Aug-25")+SUMIFS(Raw_Meta!$L$6:$L$28,Raw_Meta!$E$6:$E$28,B17,Raw_Meta!$N$6:$N$28,"Sep-25")+SUMIFS(Raw_Meta!$L$6:$L$28,Raw_Meta!$E$6:$E$28,B17,Raw_Meta!$N$6:$N$28,"Oct-25")+SUMIFS(Raw_Meta!$L$6:$L$28,Raw_Meta!$E$6:$E$28,B17,Raw_Meta!$N$6:$N$28,"Nov-25")+SUMIFS(Raw_Meta!$L$6:$L$28,Raw_Meta!$E$6:$E$28,B17,Raw_Meta!$N$6:$N$28,"Dec-25")</f>
        <v>0</v>
      </c>
    </row>
    <row r="18" customFormat="false" ht="19.5" hidden="false" customHeight="true" outlineLevel="0" collapsed="false">
      <c r="A18" s="1"/>
      <c r="B18" s="50" t="s">
        <v>117</v>
      </c>
      <c r="C18" s="51" t="n">
        <f aca="false">SUMIFS(Raw_Meta!$L$6:$L$28,Raw_Meta!$E$6:$E$28,B18)</f>
        <v>5800</v>
      </c>
      <c r="D18" s="51" t="n">
        <f aca="false">IFERROR(SUMIFS(Raw_Meta!$L$6:$L$28,Raw_Meta!$E$6:$E$28,B18)*SUMIFS(Raw_Meta!$H$6:$H$28,Raw_Meta!$E$6:$E$28,B18)/SUMIFS(Raw_Meta!$G$6:$G$28,Raw_Meta!$E$6:$E$28,B18),0)</f>
        <v>450</v>
      </c>
      <c r="E18" s="51" t="n">
        <f aca="false">C18-D18</f>
        <v>5350</v>
      </c>
      <c r="F18" s="73" t="n">
        <f aca="false">C18</f>
        <v>5800</v>
      </c>
      <c r="G18" s="75" t="n">
        <f aca="false">IFERROR(D18/C18,0)</f>
        <v>0.0775862068965517</v>
      </c>
      <c r="H18" s="64" t="n">
        <f aca="false">COUNTIFS(Raw_Meta!$E$6:$E$28,B18)</f>
        <v>1</v>
      </c>
      <c r="I18" s="39" t="n">
        <f aca="false">SUMIFS(Raw_Meta!$L$6:$L$28,Raw_Meta!$E$6:$E$28,B18,Raw_Meta!$N$6:$N$28,"Jan-25")</f>
        <v>0</v>
      </c>
      <c r="J18" s="39" t="n">
        <f aca="false">SUMIFS(Raw_Meta!$L$6:$L$28,Raw_Meta!$E$6:$E$28,B18,Raw_Meta!$N$6:$N$28,"Feb-25")</f>
        <v>0</v>
      </c>
      <c r="K18" s="39" t="n">
        <f aca="false">SUMIFS(Raw_Meta!$L$6:$L$28,Raw_Meta!$E$6:$E$28,B18,Raw_Meta!$N$6:$N$28,"Mar-25")</f>
        <v>0</v>
      </c>
      <c r="L18" s="39" t="n">
        <f aca="false">SUMIFS(Raw_Meta!$L$6:$L$28,Raw_Meta!$E$6:$E$28,B18,Raw_Meta!$N$6:$N$28,"Apr-25")</f>
        <v>0</v>
      </c>
      <c r="M18" s="39" t="n">
        <f aca="false">SUMIFS(Raw_Meta!$L$6:$L$28,Raw_Meta!$E$6:$E$28,B18,Raw_Meta!$N$6:$N$28,"May-25")</f>
        <v>0</v>
      </c>
      <c r="N18" s="39" t="n">
        <f aca="false">SUMIFS(Raw_Meta!$L$6:$L$28,Raw_Meta!$E$6:$E$28,B18,Raw_Meta!$N$6:$N$28,"Jun-25")</f>
        <v>5800</v>
      </c>
      <c r="O18" s="39" t="n">
        <f aca="false">SUMIFS(Raw_Meta!$L$6:$L$28,Raw_Meta!$E$6:$E$28,B18,Raw_Meta!$N$6:$N$28,"Jul-25")+SUMIFS(Raw_Meta!$L$6:$L$28,Raw_Meta!$E$6:$E$28,B18,Raw_Meta!$N$6:$N$28,"Aug-25")+SUMIFS(Raw_Meta!$L$6:$L$28,Raw_Meta!$E$6:$E$28,B18,Raw_Meta!$N$6:$N$28,"Sep-25")+SUMIFS(Raw_Meta!$L$6:$L$28,Raw_Meta!$E$6:$E$28,B18,Raw_Meta!$N$6:$N$28,"Oct-25")+SUMIFS(Raw_Meta!$L$6:$L$28,Raw_Meta!$E$6:$E$28,B18,Raw_Meta!$N$6:$N$28,"Nov-25")+SUMIFS(Raw_Meta!$L$6:$L$28,Raw_Meta!$E$6:$E$28,B18,Raw_Meta!$N$6:$N$28,"Dec-25")</f>
        <v>0</v>
      </c>
    </row>
    <row r="19" customFormat="false" ht="19.5" hidden="false" customHeight="true" outlineLevel="0" collapsed="false">
      <c r="A19" s="1"/>
      <c r="B19" s="45" t="s">
        <v>126</v>
      </c>
      <c r="C19" s="46" t="n">
        <f aca="false">SUMIFS(Raw_Meta!$L$6:$L$28,Raw_Meta!$E$6:$E$28,B19)</f>
        <v>7200</v>
      </c>
      <c r="D19" s="46" t="n">
        <f aca="false">IFERROR(SUMIFS(Raw_Meta!$L$6:$L$28,Raw_Meta!$E$6:$E$28,B19)*SUMIFS(Raw_Meta!$H$6:$H$28,Raw_Meta!$E$6:$E$28,B19)/SUMIFS(Raw_Meta!$G$6:$G$28,Raw_Meta!$E$6:$E$28,B19),0)</f>
        <v>600</v>
      </c>
      <c r="E19" s="46" t="n">
        <f aca="false">C19-D19</f>
        <v>6600</v>
      </c>
      <c r="F19" s="73" t="n">
        <f aca="false">C19</f>
        <v>7200</v>
      </c>
      <c r="G19" s="74" t="n">
        <f aca="false">IFERROR(D19/C19,0)</f>
        <v>0.0833333333333333</v>
      </c>
      <c r="H19" s="62" t="n">
        <f aca="false">COUNTIFS(Raw_Meta!$E$6:$E$28,B19)</f>
        <v>1</v>
      </c>
      <c r="I19" s="37" t="n">
        <f aca="false">SUMIFS(Raw_Meta!$L$6:$L$28,Raw_Meta!$E$6:$E$28,B19,Raw_Meta!$N$6:$N$28,"Jan-25")</f>
        <v>0</v>
      </c>
      <c r="J19" s="37" t="n">
        <f aca="false">SUMIFS(Raw_Meta!$L$6:$L$28,Raw_Meta!$E$6:$E$28,B19,Raw_Meta!$N$6:$N$28,"Feb-25")</f>
        <v>0</v>
      </c>
      <c r="K19" s="37" t="n">
        <f aca="false">SUMIFS(Raw_Meta!$L$6:$L$28,Raw_Meta!$E$6:$E$28,B19,Raw_Meta!$N$6:$N$28,"Mar-25")</f>
        <v>0</v>
      </c>
      <c r="L19" s="37" t="n">
        <f aca="false">SUMIFS(Raw_Meta!$L$6:$L$28,Raw_Meta!$E$6:$E$28,B19,Raw_Meta!$N$6:$N$28,"Apr-25")</f>
        <v>0</v>
      </c>
      <c r="M19" s="37" t="n">
        <f aca="false">SUMIFS(Raw_Meta!$L$6:$L$28,Raw_Meta!$E$6:$E$28,B19,Raw_Meta!$N$6:$N$28,"May-25")</f>
        <v>0</v>
      </c>
      <c r="N19" s="37" t="n">
        <f aca="false">SUMIFS(Raw_Meta!$L$6:$L$28,Raw_Meta!$E$6:$E$28,B19,Raw_Meta!$N$6:$N$28,"Jun-25")</f>
        <v>0</v>
      </c>
      <c r="O19" s="37" t="n">
        <f aca="false">SUMIFS(Raw_Meta!$L$6:$L$28,Raw_Meta!$E$6:$E$28,B19,Raw_Meta!$N$6:$N$28,"Jul-25")+SUMIFS(Raw_Meta!$L$6:$L$28,Raw_Meta!$E$6:$E$28,B19,Raw_Meta!$N$6:$N$28,"Aug-25")+SUMIFS(Raw_Meta!$L$6:$L$28,Raw_Meta!$E$6:$E$28,B19,Raw_Meta!$N$6:$N$28,"Sep-25")+SUMIFS(Raw_Meta!$L$6:$L$28,Raw_Meta!$E$6:$E$28,B19,Raw_Meta!$N$6:$N$28,"Oct-25")+SUMIFS(Raw_Meta!$L$6:$L$28,Raw_Meta!$E$6:$E$28,B19,Raw_Meta!$N$6:$N$28,"Nov-25")+SUMIFS(Raw_Meta!$L$6:$L$28,Raw_Meta!$E$6:$E$28,B19,Raw_Meta!$N$6:$N$28,"Dec-25")</f>
        <v>7200</v>
      </c>
    </row>
    <row r="20" customFormat="false" ht="19.5" hidden="false" customHeight="true" outlineLevel="0" collapsed="false">
      <c r="A20" s="1"/>
      <c r="B20" s="50" t="s">
        <v>127</v>
      </c>
      <c r="C20" s="51" t="n">
        <f aca="false">SUMIFS(Raw_Meta!$L$6:$L$28,Raw_Meta!$E$6:$E$28,B20)</f>
        <v>9800</v>
      </c>
      <c r="D20" s="51" t="n">
        <f aca="false">IFERROR(SUMIFS(Raw_Meta!$L$6:$L$28,Raw_Meta!$E$6:$E$28,B20)*SUMIFS(Raw_Meta!$H$6:$H$28,Raw_Meta!$E$6:$E$28,B20)/SUMIFS(Raw_Meta!$G$6:$G$28,Raw_Meta!$E$6:$E$28,B20),0)</f>
        <v>800</v>
      </c>
      <c r="E20" s="51" t="n">
        <f aca="false">C20-D20</f>
        <v>9000</v>
      </c>
      <c r="F20" s="73" t="n">
        <f aca="false">C20</f>
        <v>9800</v>
      </c>
      <c r="G20" s="75" t="n">
        <f aca="false">IFERROR(D20/C20,0)</f>
        <v>0.0816326530612245</v>
      </c>
      <c r="H20" s="64" t="n">
        <f aca="false">COUNTIFS(Raw_Meta!$E$6:$E$28,B20)</f>
        <v>1</v>
      </c>
      <c r="I20" s="39" t="n">
        <f aca="false">SUMIFS(Raw_Meta!$L$6:$L$28,Raw_Meta!$E$6:$E$28,B20,Raw_Meta!$N$6:$N$28,"Jan-25")</f>
        <v>0</v>
      </c>
      <c r="J20" s="39" t="n">
        <f aca="false">SUMIFS(Raw_Meta!$L$6:$L$28,Raw_Meta!$E$6:$E$28,B20,Raw_Meta!$N$6:$N$28,"Feb-25")</f>
        <v>0</v>
      </c>
      <c r="K20" s="39" t="n">
        <f aca="false">SUMIFS(Raw_Meta!$L$6:$L$28,Raw_Meta!$E$6:$E$28,B20,Raw_Meta!$N$6:$N$28,"Mar-25")</f>
        <v>0</v>
      </c>
      <c r="L20" s="39" t="n">
        <f aca="false">SUMIFS(Raw_Meta!$L$6:$L$28,Raw_Meta!$E$6:$E$28,B20,Raw_Meta!$N$6:$N$28,"Apr-25")</f>
        <v>0</v>
      </c>
      <c r="M20" s="39" t="n">
        <f aca="false">SUMIFS(Raw_Meta!$L$6:$L$28,Raw_Meta!$E$6:$E$28,B20,Raw_Meta!$N$6:$N$28,"May-25")</f>
        <v>0</v>
      </c>
      <c r="N20" s="39" t="n">
        <f aca="false">SUMIFS(Raw_Meta!$L$6:$L$28,Raw_Meta!$E$6:$E$28,B20,Raw_Meta!$N$6:$N$28,"Jun-25")</f>
        <v>0</v>
      </c>
      <c r="O20" s="39" t="n">
        <f aca="false">SUMIFS(Raw_Meta!$L$6:$L$28,Raw_Meta!$E$6:$E$28,B20,Raw_Meta!$N$6:$N$28,"Jul-25")+SUMIFS(Raw_Meta!$L$6:$L$28,Raw_Meta!$E$6:$E$28,B20,Raw_Meta!$N$6:$N$28,"Aug-25")+SUMIFS(Raw_Meta!$L$6:$L$28,Raw_Meta!$E$6:$E$28,B20,Raw_Meta!$N$6:$N$28,"Sep-25")+SUMIFS(Raw_Meta!$L$6:$L$28,Raw_Meta!$E$6:$E$28,B20,Raw_Meta!$N$6:$N$28,"Oct-25")+SUMIFS(Raw_Meta!$L$6:$L$28,Raw_Meta!$E$6:$E$28,B20,Raw_Meta!$N$6:$N$28,"Nov-25")+SUMIFS(Raw_Meta!$L$6:$L$28,Raw_Meta!$E$6:$E$28,B20,Raw_Meta!$N$6:$N$28,"Dec-25")</f>
        <v>9800</v>
      </c>
    </row>
    <row r="21" customFormat="false" ht="24" hidden="false" customHeight="true" outlineLevel="0" collapsed="false">
      <c r="A21" s="1"/>
      <c r="B21" s="40" t="s">
        <v>146</v>
      </c>
      <c r="C21" s="41" t="n">
        <f aca="false">SUM(C7:C20)</f>
        <v>133600</v>
      </c>
      <c r="D21" s="41" t="n">
        <f aca="false">SUM(D7:D20)</f>
        <v>11650</v>
      </c>
      <c r="E21" s="41" t="n">
        <f aca="false">SUM(E7:E20)</f>
        <v>121950</v>
      </c>
      <c r="F21" s="76" t="n">
        <f aca="false">SUM(F7:F20)</f>
        <v>133600</v>
      </c>
      <c r="G21" s="77" t="n">
        <f aca="false">IFERROR(D21/C21,0)</f>
        <v>0.0872005988023952</v>
      </c>
      <c r="H21" s="65" t="n">
        <f aca="false">SUM(H7:H20)</f>
        <v>23</v>
      </c>
      <c r="I21" s="41" t="n">
        <f aca="false">SUM(I7:I20)</f>
        <v>19700</v>
      </c>
      <c r="J21" s="41" t="n">
        <f aca="false">SUM(J7:J20)</f>
        <v>16300</v>
      </c>
      <c r="K21" s="41" t="n">
        <f aca="false">SUM(K7:K20)</f>
        <v>30300</v>
      </c>
      <c r="L21" s="41" t="n">
        <f aca="false">SUM(L7:L20)</f>
        <v>9300</v>
      </c>
      <c r="M21" s="41" t="n">
        <f aca="false">SUM(M7:M20)</f>
        <v>17300</v>
      </c>
      <c r="N21" s="41" t="n">
        <f aca="false">SUM(N7:N20)</f>
        <v>12400</v>
      </c>
      <c r="O21" s="41" t="n">
        <f aca="false">SUM(O7:O20)</f>
        <v>28300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25.5" hidden="false" customHeight="true" outlineLevel="0" collapsed="false">
      <c r="A24" s="1"/>
      <c r="B24" s="10" t="s">
        <v>184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30" hidden="false" customHeight="true" outlineLevel="0" collapsed="false">
      <c r="A25" s="1"/>
      <c r="B25" s="33" t="s">
        <v>61</v>
      </c>
      <c r="C25" s="35" t="s">
        <v>185</v>
      </c>
      <c r="D25" s="35" t="s">
        <v>186</v>
      </c>
      <c r="E25" s="35" t="s">
        <v>187</v>
      </c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8" hidden="false" customHeight="true" outlineLevel="0" collapsed="false">
      <c r="A26" s="1"/>
      <c r="B26" s="61" t="s">
        <v>67</v>
      </c>
      <c r="C26" s="46" t="n">
        <f aca="false">E26-D26</f>
        <v>18100</v>
      </c>
      <c r="D26" s="46" t="n">
        <f aca="false">IFERROR(SUMIFS(Raw_Meta!$L$6:$L$28,Raw_Meta!$N$6:$N$28,B26)*SUMIFS(Raw_Meta!$H$6:$H$28,Raw_Meta!$N$6:$N$28,B26)/SUMIFS(Raw_Meta!$G$6:$G$28,Raw_Meta!$N$6:$N$28,B26),0)</f>
        <v>1600</v>
      </c>
      <c r="E26" s="46" t="n">
        <f aca="false">SUMIFS(Raw_Meta!$L$6:$L$28,Raw_Meta!$N$6:$N$28,B26)</f>
        <v>19700</v>
      </c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8" hidden="false" customHeight="true" outlineLevel="0" collapsed="false">
      <c r="A27" s="1"/>
      <c r="B27" s="63" t="s">
        <v>68</v>
      </c>
      <c r="C27" s="51" t="n">
        <f aca="false">E27-D27</f>
        <v>14950</v>
      </c>
      <c r="D27" s="51" t="n">
        <f aca="false">IFERROR(SUMIFS(Raw_Meta!$L$6:$L$28,Raw_Meta!$N$6:$N$28,B27)*SUMIFS(Raw_Meta!$H$6:$H$28,Raw_Meta!$N$6:$N$28,B27)/SUMIFS(Raw_Meta!$G$6:$G$28,Raw_Meta!$N$6:$N$28,B27),0)</f>
        <v>1350</v>
      </c>
      <c r="E27" s="51" t="n">
        <f aca="false">SUMIFS(Raw_Meta!$L$6:$L$28,Raw_Meta!$N$6:$N$28,B27)</f>
        <v>16300</v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8" hidden="false" customHeight="true" outlineLevel="0" collapsed="false">
      <c r="A28" s="1"/>
      <c r="B28" s="61" t="s">
        <v>69</v>
      </c>
      <c r="C28" s="46" t="n">
        <f aca="false">E28-D28</f>
        <v>27650</v>
      </c>
      <c r="D28" s="46" t="n">
        <f aca="false">IFERROR(SUMIFS(Raw_Meta!$L$6:$L$28,Raw_Meta!$N$6:$N$28,B28)*SUMIFS(Raw_Meta!$H$6:$H$28,Raw_Meta!$N$6:$N$28,B28)/SUMIFS(Raw_Meta!$G$6:$G$28,Raw_Meta!$N$6:$N$28,B28),0)</f>
        <v>2650</v>
      </c>
      <c r="E28" s="46" t="n">
        <f aca="false">SUMIFS(Raw_Meta!$L$6:$L$28,Raw_Meta!$N$6:$N$28,B28)</f>
        <v>30300</v>
      </c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8" hidden="false" customHeight="true" outlineLevel="0" collapsed="false">
      <c r="A29" s="1"/>
      <c r="B29" s="63" t="s">
        <v>70</v>
      </c>
      <c r="C29" s="51" t="n">
        <f aca="false">E29-D29</f>
        <v>8450</v>
      </c>
      <c r="D29" s="51" t="n">
        <f aca="false">IFERROR(SUMIFS(Raw_Meta!$L$6:$L$28,Raw_Meta!$N$6:$N$28,B29)*SUMIFS(Raw_Meta!$H$6:$H$28,Raw_Meta!$N$6:$N$28,B29)/SUMIFS(Raw_Meta!$G$6:$G$28,Raw_Meta!$N$6:$N$28,B29),0)</f>
        <v>850</v>
      </c>
      <c r="E29" s="51" t="n">
        <f aca="false">SUMIFS(Raw_Meta!$L$6:$L$28,Raw_Meta!$N$6:$N$28,B29)</f>
        <v>9300</v>
      </c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8" hidden="false" customHeight="true" outlineLevel="0" collapsed="false">
      <c r="A30" s="1"/>
      <c r="B30" s="61" t="s">
        <v>71</v>
      </c>
      <c r="C30" s="46" t="n">
        <f aca="false">E30-D30</f>
        <v>15750</v>
      </c>
      <c r="D30" s="46" t="n">
        <f aca="false">IFERROR(SUMIFS(Raw_Meta!$L$6:$L$28,Raw_Meta!$N$6:$N$28,B30)*SUMIFS(Raw_Meta!$H$6:$H$28,Raw_Meta!$N$6:$N$28,B30)/SUMIFS(Raw_Meta!$G$6:$G$28,Raw_Meta!$N$6:$N$28,B30),0)</f>
        <v>1550</v>
      </c>
      <c r="E30" s="46" t="n">
        <f aca="false">SUMIFS(Raw_Meta!$L$6:$L$28,Raw_Meta!$N$6:$N$28,B30)</f>
        <v>17300</v>
      </c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8" hidden="false" customHeight="true" outlineLevel="0" collapsed="false">
      <c r="A31" s="1"/>
      <c r="B31" s="63" t="s">
        <v>72</v>
      </c>
      <c r="C31" s="51" t="n">
        <f aca="false">E31-D31</f>
        <v>11250</v>
      </c>
      <c r="D31" s="51" t="n">
        <f aca="false">IFERROR(SUMIFS(Raw_Meta!$L$6:$L$28,Raw_Meta!$N$6:$N$28,B31)*SUMIFS(Raw_Meta!$H$6:$H$28,Raw_Meta!$N$6:$N$28,B31)/SUMIFS(Raw_Meta!$G$6:$G$28,Raw_Meta!$N$6:$N$28,B31),0)</f>
        <v>1150</v>
      </c>
      <c r="E31" s="51" t="n">
        <f aca="false">SUMIFS(Raw_Meta!$L$6:$L$28,Raw_Meta!$N$6:$N$28,B31)</f>
        <v>12400</v>
      </c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8" hidden="false" customHeight="true" outlineLevel="0" collapsed="false">
      <c r="A32" s="1"/>
      <c r="B32" s="61" t="s">
        <v>73</v>
      </c>
      <c r="C32" s="46" t="n">
        <f aca="false">E32-D32</f>
        <v>12700</v>
      </c>
      <c r="D32" s="46" t="n">
        <f aca="false">IFERROR(SUMIFS(Raw_Meta!$L$6:$L$28,Raw_Meta!$N$6:$N$28,B32)*SUMIFS(Raw_Meta!$H$6:$H$28,Raw_Meta!$N$6:$N$28,B32)/SUMIFS(Raw_Meta!$G$6:$G$28,Raw_Meta!$N$6:$N$28,B32),0)</f>
        <v>1300</v>
      </c>
      <c r="E32" s="46" t="n">
        <f aca="false">SUMIFS(Raw_Meta!$L$6:$L$28,Raw_Meta!$N$6:$N$28,B32)</f>
        <v>14000</v>
      </c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8" hidden="false" customHeight="true" outlineLevel="0" collapsed="false">
      <c r="A33" s="1"/>
      <c r="B33" s="63" t="s">
        <v>74</v>
      </c>
      <c r="C33" s="51" t="n">
        <f aca="false">E33-D33</f>
        <v>4100</v>
      </c>
      <c r="D33" s="51" t="n">
        <f aca="false">IFERROR(SUMIFS(Raw_Meta!$L$6:$L$28,Raw_Meta!$N$6:$N$28,B33)*SUMIFS(Raw_Meta!$H$6:$H$28,Raw_Meta!$N$6:$N$28,B33)/SUMIFS(Raw_Meta!$G$6:$G$28,Raw_Meta!$N$6:$N$28,B33),0)</f>
        <v>400</v>
      </c>
      <c r="E33" s="51" t="n">
        <f aca="false">SUMIFS(Raw_Meta!$L$6:$L$28,Raw_Meta!$N$6:$N$28,B33)</f>
        <v>4500</v>
      </c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8" hidden="false" customHeight="true" outlineLevel="0" collapsed="false">
      <c r="A34" s="1"/>
      <c r="B34" s="61" t="s">
        <v>75</v>
      </c>
      <c r="C34" s="46" t="n">
        <f aca="false">E34-D34</f>
        <v>9000</v>
      </c>
      <c r="D34" s="46" t="n">
        <f aca="false">IFERROR(SUMIFS(Raw_Meta!$L$6:$L$28,Raw_Meta!$N$6:$N$28,B34)*SUMIFS(Raw_Meta!$H$6:$H$28,Raw_Meta!$N$6:$N$28,B34)/SUMIFS(Raw_Meta!$G$6:$G$28,Raw_Meta!$N$6:$N$28,B34),0)</f>
        <v>800</v>
      </c>
      <c r="E34" s="46" t="n">
        <f aca="false">SUMIFS(Raw_Meta!$L$6:$L$28,Raw_Meta!$N$6:$N$28,B34)</f>
        <v>9800</v>
      </c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8" hidden="false" customHeight="true" outlineLevel="0" collapsed="false">
      <c r="A35" s="1"/>
      <c r="B35" s="63" t="s">
        <v>76</v>
      </c>
      <c r="C35" s="51" t="n">
        <f aca="false">E35-D35</f>
        <v>0</v>
      </c>
      <c r="D35" s="51" t="n">
        <f aca="false">IFERROR(SUMIFS(Raw_Meta!$L$6:$L$28,Raw_Meta!$N$6:$N$28,B35)*SUMIFS(Raw_Meta!$H$6:$H$28,Raw_Meta!$N$6:$N$28,B35)/SUMIFS(Raw_Meta!$G$6:$G$28,Raw_Meta!$N$6:$N$28,B35),0)</f>
        <v>0</v>
      </c>
      <c r="E35" s="51" t="n">
        <f aca="false">SUMIFS(Raw_Meta!$L$6:$L$28,Raw_Meta!$N$6:$N$28,B35)</f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8" hidden="false" customHeight="true" outlineLevel="0" collapsed="false">
      <c r="A36" s="1"/>
      <c r="B36" s="61" t="s">
        <v>77</v>
      </c>
      <c r="C36" s="46" t="n">
        <f aca="false">E36-D36</f>
        <v>0</v>
      </c>
      <c r="D36" s="46" t="n">
        <f aca="false">IFERROR(SUMIFS(Raw_Meta!$L$6:$L$28,Raw_Meta!$N$6:$N$28,B36)*SUMIFS(Raw_Meta!$H$6:$H$28,Raw_Meta!$N$6:$N$28,B36)/SUMIFS(Raw_Meta!$G$6:$G$28,Raw_Meta!$N$6:$N$28,B36),0)</f>
        <v>0</v>
      </c>
      <c r="E36" s="46" t="n">
        <f aca="false">SUMIFS(Raw_Meta!$L$6:$L$28,Raw_Meta!$N$6:$N$28,B36)</f>
        <v>0</v>
      </c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8" hidden="false" customHeight="true" outlineLevel="0" collapsed="false">
      <c r="A37" s="1"/>
      <c r="B37" s="63" t="s">
        <v>78</v>
      </c>
      <c r="C37" s="51" t="n">
        <f aca="false">E37-D37</f>
        <v>0</v>
      </c>
      <c r="D37" s="51" t="n">
        <f aca="false">IFERROR(SUMIFS(Raw_Meta!$L$6:$L$28,Raw_Meta!$N$6:$N$28,B37)*SUMIFS(Raw_Meta!$H$6:$H$28,Raw_Meta!$N$6:$N$28,B37)/SUMIFS(Raw_Meta!$G$6:$G$28,Raw_Meta!$N$6:$N$28,B37),0)</f>
        <v>0</v>
      </c>
      <c r="E37" s="51" t="n">
        <f aca="false">SUMIFS(Raw_Meta!$L$6:$L$28,Raw_Meta!$N$6:$N$28,B37)</f>
        <v>0</v>
      </c>
      <c r="F37" s="1"/>
      <c r="G37" s="1"/>
      <c r="H37" s="1"/>
      <c r="I37" s="1"/>
      <c r="J37" s="1"/>
      <c r="K37" s="1"/>
      <c r="L37" s="1"/>
      <c r="M37" s="1"/>
      <c r="N37" s="1"/>
    </row>
    <row r="38" customFormat="false" ht="24" hidden="false" customHeight="true" outlineLevel="0" collapsed="false">
      <c r="A38" s="1"/>
      <c r="B38" s="40" t="s">
        <v>79</v>
      </c>
      <c r="C38" s="55" t="n">
        <f aca="false">SUM(C26:C37)</f>
        <v>121950</v>
      </c>
      <c r="D38" s="55" t="n">
        <f aca="false">SUM(D26:D37)</f>
        <v>11650</v>
      </c>
      <c r="E38" s="55" t="n">
        <f aca="false">SUM(E26:E37)</f>
        <v>133600</v>
      </c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25.5" hidden="false" customHeight="true" outlineLevel="0" collapsed="false">
      <c r="A41" s="1"/>
      <c r="B41" s="10" t="s">
        <v>188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5">
    <mergeCell ref="B2:O2"/>
    <mergeCell ref="B3:O3"/>
    <mergeCell ref="B5:O5"/>
    <mergeCell ref="B24:O24"/>
    <mergeCell ref="B41:O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924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15" min="3" style="0" width="13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189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</row>
    <row r="3" customFormat="false" ht="18" hidden="false" customHeight="true" outlineLevel="0" collapsed="false">
      <c r="A3" s="1"/>
      <c r="B3" s="3" t="s">
        <v>190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5.5" hidden="false" customHeight="true" outlineLevel="0" collapsed="false">
      <c r="A5" s="1"/>
      <c r="B5" s="5" t="s">
        <v>191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1"/>
    </row>
    <row r="6" customFormat="false" ht="30" hidden="false" customHeight="true" outlineLevel="0" collapsed="false">
      <c r="A6" s="1"/>
      <c r="B6" s="33" t="s">
        <v>192</v>
      </c>
      <c r="C6" s="34" t="s">
        <v>67</v>
      </c>
      <c r="D6" s="34" t="s">
        <v>68</v>
      </c>
      <c r="E6" s="34" t="s">
        <v>69</v>
      </c>
      <c r="F6" s="34" t="s">
        <v>70</v>
      </c>
      <c r="G6" s="34" t="s">
        <v>71</v>
      </c>
      <c r="H6" s="34" t="s">
        <v>72</v>
      </c>
      <c r="I6" s="34" t="s">
        <v>73</v>
      </c>
      <c r="J6" s="34" t="s">
        <v>74</v>
      </c>
      <c r="K6" s="34" t="s">
        <v>75</v>
      </c>
      <c r="L6" s="34" t="s">
        <v>76</v>
      </c>
      <c r="M6" s="34" t="s">
        <v>77</v>
      </c>
      <c r="N6" s="34" t="s">
        <v>78</v>
      </c>
      <c r="O6" s="34" t="s">
        <v>86</v>
      </c>
      <c r="P6" s="34" t="s">
        <v>193</v>
      </c>
      <c r="Q6" s="1"/>
      <c r="R6" s="1"/>
    </row>
    <row r="7" customFormat="false" ht="19.5" hidden="false" customHeight="true" outlineLevel="0" collapsed="false">
      <c r="A7" s="1"/>
      <c r="B7" s="78" t="s">
        <v>194</v>
      </c>
      <c r="C7" s="37" t="n">
        <f aca="false">SUMIFS(Raw_Stripe!$H$6:$H$49,Raw_Stripe!$M$6:$M$49,"Jan-25",Raw_Stripe!$N$6:$N$49,"WhatsApp")</f>
        <v>4202.01</v>
      </c>
      <c r="D7" s="37" t="n">
        <f aca="false">SUMIFS(Raw_Stripe!$H$6:$H$49,Raw_Stripe!$M$6:$M$49,"Feb-25",Raw_Stripe!$N$6:$N$49,"WhatsApp")</f>
        <v>3825.85</v>
      </c>
      <c r="E7" s="37" t="n">
        <f aca="false">SUMIFS(Raw_Stripe!$H$6:$H$49,Raw_Stripe!$M$6:$M$49,"Mar-25",Raw_Stripe!$N$6:$N$49,"WhatsApp")</f>
        <v>4625.64</v>
      </c>
      <c r="F7" s="37" t="n">
        <f aca="false">SUMIFS(Raw_Stripe!$H$6:$H$49,Raw_Stripe!$M$6:$M$49,"Apr-25",Raw_Stripe!$N$6:$N$49,"WhatsApp")</f>
        <v>1279.81</v>
      </c>
      <c r="G7" s="37" t="n">
        <f aca="false">SUMIFS(Raw_Stripe!$H$6:$H$49,Raw_Stripe!$M$6:$M$49,"May-25",Raw_Stripe!$N$6:$N$49,"WhatsApp")</f>
        <v>1334.27</v>
      </c>
      <c r="H7" s="37" t="n">
        <f aca="false">SUMIFS(Raw_Stripe!$H$6:$H$49,Raw_Stripe!$M$6:$M$49,"Jun-25",Raw_Stripe!$N$6:$N$49,"WhatsApp")</f>
        <v>7061.03</v>
      </c>
      <c r="I7" s="37" t="n">
        <f aca="false">SUMIFS(Raw_Stripe!$H$6:$H$49,Raw_Stripe!$M$6:$M$49,"Jul-25",Raw_Stripe!$N$6:$N$49,"WhatsApp")</f>
        <v>1415.96</v>
      </c>
      <c r="J7" s="37" t="n">
        <f aca="false">SUMIFS(Raw_Stripe!$H$6:$H$49,Raw_Stripe!$M$6:$M$49,"Aug-25",Raw_Stripe!$N$6:$N$49,"WhatsApp")</f>
        <v>2831</v>
      </c>
      <c r="K7" s="37" t="n">
        <f aca="false">SUMIFS(Raw_Stripe!$H$6:$H$49,Raw_Stripe!$M$6:$M$49,"Sep-25",Raw_Stripe!$N$6:$N$49,"WhatsApp")</f>
        <v>1851.64</v>
      </c>
      <c r="L7" s="37" t="n">
        <f aca="false">SUMIFS(Raw_Stripe!$H$6:$H$49,Raw_Stripe!$M$6:$M$49,"Oct-25",Raw_Stripe!$N$6:$N$49,"WhatsApp")</f>
        <v>0</v>
      </c>
      <c r="M7" s="37" t="n">
        <f aca="false">SUMIFS(Raw_Stripe!$H$6:$H$49,Raw_Stripe!$M$6:$M$49,"Nov-25",Raw_Stripe!$N$6:$N$49,"WhatsApp")</f>
        <v>3135.3</v>
      </c>
      <c r="N7" s="37" t="n">
        <f aca="false">SUMIFS(Raw_Stripe!$H$6:$H$49,Raw_Stripe!$M$6:$M$49,"Dec-25",Raw_Stripe!$N$6:$N$49,"WhatsApp")</f>
        <v>0</v>
      </c>
      <c r="O7" s="79" t="n">
        <f aca="false">SUM(C7:N7)</f>
        <v>31562.51</v>
      </c>
      <c r="P7" s="48" t="n">
        <f aca="false">IFERROR(O7/$O$11,0)</f>
        <v>0.144189675296147</v>
      </c>
      <c r="Q7" s="1"/>
      <c r="R7" s="1"/>
    </row>
    <row r="8" customFormat="false" ht="19.5" hidden="false" customHeight="true" outlineLevel="0" collapsed="false">
      <c r="A8" s="1"/>
      <c r="B8" s="80" t="s">
        <v>195</v>
      </c>
      <c r="C8" s="39" t="n">
        <f aca="false">SUMIFS(Raw_Stripe!$H$6:$H$49,Raw_Stripe!$M$6:$M$49,"Jan-25",Raw_Stripe!$N$6:$N$49,"Subscription")</f>
        <v>13782.45</v>
      </c>
      <c r="D8" s="39" t="n">
        <f aca="false">SUMIFS(Raw_Stripe!$H$6:$H$49,Raw_Stripe!$M$6:$M$49,"Feb-25",Raw_Stripe!$N$6:$N$49,"Subscription")</f>
        <v>408.45</v>
      </c>
      <c r="E8" s="39" t="n">
        <f aca="false">SUMIFS(Raw_Stripe!$H$6:$H$49,Raw_Stripe!$M$6:$M$49,"Mar-25",Raw_Stripe!$N$6:$N$49,"Subscription")</f>
        <v>408.45</v>
      </c>
      <c r="F8" s="39" t="n">
        <f aca="false">SUMIFS(Raw_Stripe!$H$6:$H$49,Raw_Stripe!$M$6:$M$49,"Apr-25",Raw_Stripe!$N$6:$N$49,"Subscription")</f>
        <v>2608.45</v>
      </c>
      <c r="G8" s="39" t="n">
        <f aca="false">SUMIFS(Raw_Stripe!$H$6:$H$49,Raw_Stripe!$M$6:$M$49,"May-25",Raw_Stripe!$N$6:$N$49,"Subscription")</f>
        <v>1339.2</v>
      </c>
      <c r="H8" s="39" t="n">
        <f aca="false">SUMIFS(Raw_Stripe!$H$6:$H$49,Raw_Stripe!$M$6:$M$49,"Jun-25",Raw_Stripe!$N$6:$N$49,"Subscription")</f>
        <v>24000</v>
      </c>
      <c r="I8" s="39" t="n">
        <f aca="false">SUMIFS(Raw_Stripe!$H$6:$H$49,Raw_Stripe!$M$6:$M$49,"Jul-25",Raw_Stripe!$N$6:$N$49,"Subscription")</f>
        <v>0</v>
      </c>
      <c r="J8" s="39" t="n">
        <f aca="false">SUMIFS(Raw_Stripe!$H$6:$H$49,Raw_Stripe!$M$6:$M$49,"Aug-25",Raw_Stripe!$N$6:$N$49,"Subscription")</f>
        <v>0</v>
      </c>
      <c r="K8" s="39" t="n">
        <f aca="false">SUMIFS(Raw_Stripe!$H$6:$H$49,Raw_Stripe!$M$6:$M$49,"Sep-25",Raw_Stripe!$N$6:$N$49,"Subscription")</f>
        <v>0</v>
      </c>
      <c r="L8" s="39" t="n">
        <f aca="false">SUMIFS(Raw_Stripe!$H$6:$H$49,Raw_Stripe!$M$6:$M$49,"Oct-25",Raw_Stripe!$N$6:$N$49,"Subscription")</f>
        <v>24000</v>
      </c>
      <c r="M8" s="39" t="n">
        <f aca="false">SUMIFS(Raw_Stripe!$H$6:$H$49,Raw_Stripe!$M$6:$M$49,"Nov-25",Raw_Stripe!$N$6:$N$49,"Subscription")</f>
        <v>1343.7</v>
      </c>
      <c r="N8" s="39" t="n">
        <f aca="false">SUMIFS(Raw_Stripe!$H$6:$H$49,Raw_Stripe!$M$6:$M$49,"Dec-25",Raw_Stripe!$N$6:$N$49,"Subscription")</f>
        <v>0</v>
      </c>
      <c r="O8" s="81" t="n">
        <f aca="false">SUM(C8:N8)</f>
        <v>67890.7</v>
      </c>
      <c r="P8" s="53" t="n">
        <f aca="false">IFERROR(O8/$O$11,0)</f>
        <v>0.310150808304793</v>
      </c>
      <c r="Q8" s="1"/>
      <c r="R8" s="1"/>
    </row>
    <row r="9" customFormat="false" ht="19.5" hidden="false" customHeight="true" outlineLevel="0" collapsed="false">
      <c r="A9" s="1"/>
      <c r="B9" s="78" t="s">
        <v>196</v>
      </c>
      <c r="C9" s="37" t="n">
        <f aca="false">SUMIFS(Raw_Stripe!$H$6:$H$49,Raw_Stripe!$M$6:$M$49,"Jan-25",Raw_Stripe!$N$6:$N$49,"Development")</f>
        <v>6800</v>
      </c>
      <c r="D9" s="37" t="n">
        <f aca="false">SUMIFS(Raw_Stripe!$H$6:$H$49,Raw_Stripe!$M$6:$M$49,"Feb-25",Raw_Stripe!$N$6:$N$49,"Development")</f>
        <v>12000</v>
      </c>
      <c r="E9" s="37" t="n">
        <f aca="false">SUMIFS(Raw_Stripe!$H$6:$H$49,Raw_Stripe!$M$6:$M$49,"Mar-25",Raw_Stripe!$N$6:$N$49,"Development")</f>
        <v>18086.85</v>
      </c>
      <c r="F9" s="37" t="n">
        <f aca="false">SUMIFS(Raw_Stripe!$H$6:$H$49,Raw_Stripe!$M$6:$M$49,"Apr-25",Raw_Stripe!$N$6:$N$49,"Development")</f>
        <v>0</v>
      </c>
      <c r="G9" s="37" t="n">
        <f aca="false">SUMIFS(Raw_Stripe!$H$6:$H$49,Raw_Stripe!$M$6:$M$49,"May-25",Raw_Stripe!$N$6:$N$49,"Development")</f>
        <v>8500</v>
      </c>
      <c r="H9" s="37" t="n">
        <f aca="false">SUMIFS(Raw_Stripe!$H$6:$H$49,Raw_Stripe!$M$6:$M$49,"Jun-25",Raw_Stripe!$N$6:$N$49,"Development")</f>
        <v>0</v>
      </c>
      <c r="I9" s="37" t="n">
        <f aca="false">SUMIFS(Raw_Stripe!$H$6:$H$49,Raw_Stripe!$M$6:$M$49,"Jul-25",Raw_Stripe!$N$6:$N$49,"Development")</f>
        <v>10050.75</v>
      </c>
      <c r="J9" s="37" t="n">
        <f aca="false">SUMIFS(Raw_Stripe!$H$6:$H$49,Raw_Stripe!$M$6:$M$49,"Aug-25",Raw_Stripe!$N$6:$N$49,"Development")</f>
        <v>0</v>
      </c>
      <c r="K9" s="37" t="n">
        <f aca="false">SUMIFS(Raw_Stripe!$H$6:$H$49,Raw_Stripe!$M$6:$M$49,"Sep-25",Raw_Stripe!$N$6:$N$49,"Development")</f>
        <v>11200</v>
      </c>
      <c r="L9" s="37" t="n">
        <f aca="false">SUMIFS(Raw_Stripe!$H$6:$H$49,Raw_Stripe!$M$6:$M$49,"Oct-25",Raw_Stripe!$N$6:$N$49,"Development")</f>
        <v>2314.55</v>
      </c>
      <c r="M9" s="37" t="n">
        <f aca="false">SUMIFS(Raw_Stripe!$H$6:$H$49,Raw_Stripe!$M$6:$M$49,"Nov-25",Raw_Stripe!$N$6:$N$49,"Development")</f>
        <v>0</v>
      </c>
      <c r="N9" s="37" t="n">
        <f aca="false">SUMIFS(Raw_Stripe!$H$6:$H$49,Raw_Stripe!$M$6:$M$49,"Dec-25",Raw_Stripe!$N$6:$N$49,"Development")</f>
        <v>9500</v>
      </c>
      <c r="O9" s="79" t="n">
        <f aca="false">SUM(C9:N9)</f>
        <v>78452.15</v>
      </c>
      <c r="P9" s="48" t="n">
        <f aca="false">IFERROR(O9/$O$11,0)</f>
        <v>0.358399570718064</v>
      </c>
      <c r="Q9" s="1"/>
      <c r="R9" s="1"/>
    </row>
    <row r="10" customFormat="false" ht="19.5" hidden="false" customHeight="true" outlineLevel="0" collapsed="false">
      <c r="A10" s="1"/>
      <c r="B10" s="80" t="s">
        <v>197</v>
      </c>
      <c r="C10" s="39" t="n">
        <f aca="false">SUMIFS(Raw_Stripe!$H$6:$H$49,Raw_Stripe!$M$6:$M$49,"Jan-25",Raw_Stripe!$N$6:$N$49,"Other Services")</f>
        <v>953.05</v>
      </c>
      <c r="D10" s="39" t="n">
        <f aca="false">SUMIFS(Raw_Stripe!$H$6:$H$49,Raw_Stripe!$M$6:$M$49,"Feb-25",Raw_Stripe!$N$6:$N$49,"Other Services")</f>
        <v>6800</v>
      </c>
      <c r="E10" s="39" t="n">
        <f aca="false">SUMIFS(Raw_Stripe!$H$6:$H$49,Raw_Stripe!$M$6:$M$49,"Mar-25",Raw_Stripe!$N$6:$N$49,"Other Services")</f>
        <v>3343.5</v>
      </c>
      <c r="F10" s="39" t="n">
        <f aca="false">SUMIFS(Raw_Stripe!$H$6:$H$49,Raw_Stripe!$M$6:$M$49,"Apr-25",Raw_Stripe!$N$6:$N$49,"Other Services")</f>
        <v>9200</v>
      </c>
      <c r="G10" s="39" t="n">
        <f aca="false">SUMIFS(Raw_Stripe!$H$6:$H$49,Raw_Stripe!$M$6:$M$49,"May-25",Raw_Stripe!$N$6:$N$49,"Other Services")</f>
        <v>1415.96</v>
      </c>
      <c r="H10" s="39" t="n">
        <f aca="false">SUMIFS(Raw_Stripe!$H$6:$H$49,Raw_Stripe!$M$6:$M$49,"Jun-25",Raw_Stripe!$N$6:$N$49,"Other Services")</f>
        <v>2827.2</v>
      </c>
      <c r="I10" s="39" t="n">
        <f aca="false">SUMIFS(Raw_Stripe!$H$6:$H$49,Raw_Stripe!$M$6:$M$49,"Jul-25",Raw_Stripe!$N$6:$N$49,"Other Services")</f>
        <v>1307.04</v>
      </c>
      <c r="J10" s="39" t="n">
        <f aca="false">SUMIFS(Raw_Stripe!$H$6:$H$49,Raw_Stripe!$M$6:$M$49,"Aug-25",Raw_Stripe!$N$6:$N$49,"Other Services")</f>
        <v>7500</v>
      </c>
      <c r="K10" s="39" t="n">
        <f aca="false">SUMIFS(Raw_Stripe!$H$6:$H$49,Raw_Stripe!$M$6:$M$49,"Sep-25",Raw_Stripe!$N$6:$N$49,"Other Services")</f>
        <v>0</v>
      </c>
      <c r="L10" s="39" t="n">
        <f aca="false">SUMIFS(Raw_Stripe!$H$6:$H$49,Raw_Stripe!$M$6:$M$49,"Oct-25",Raw_Stripe!$N$6:$N$49,"Other Services")</f>
        <v>0</v>
      </c>
      <c r="M10" s="39" t="n">
        <f aca="false">SUMIFS(Raw_Stripe!$H$6:$H$49,Raw_Stripe!$M$6:$M$49,"Nov-25",Raw_Stripe!$N$6:$N$49,"Other Services")</f>
        <v>6500</v>
      </c>
      <c r="N10" s="39" t="n">
        <f aca="false">SUMIFS(Raw_Stripe!$H$6:$H$49,Raw_Stripe!$M$6:$M$49,"Dec-25",Raw_Stripe!$N$6:$N$49,"Other Services")</f>
        <v>1143.66</v>
      </c>
      <c r="O10" s="81" t="n">
        <f aca="false">SUM(C10:N10)</f>
        <v>40990.41</v>
      </c>
      <c r="P10" s="53" t="n">
        <f aca="false">IFERROR(O10/$O$11,0)</f>
        <v>0.187259945680997</v>
      </c>
      <c r="Q10" s="1"/>
      <c r="R10" s="1"/>
    </row>
    <row r="11" customFormat="false" ht="24" hidden="false" customHeight="true" outlineLevel="0" collapsed="false">
      <c r="A11" s="1"/>
      <c r="B11" s="40" t="s">
        <v>91</v>
      </c>
      <c r="C11" s="41" t="n">
        <f aca="false">SUM(C7:C10)</f>
        <v>25737.51</v>
      </c>
      <c r="D11" s="41" t="n">
        <f aca="false">SUM(D7:D10)</f>
        <v>23034.3</v>
      </c>
      <c r="E11" s="41" t="n">
        <f aca="false">SUM(E7:E10)</f>
        <v>26464.44</v>
      </c>
      <c r="F11" s="41" t="n">
        <f aca="false">SUM(F7:F10)</f>
        <v>13088.26</v>
      </c>
      <c r="G11" s="41" t="n">
        <f aca="false">SUM(G7:G10)</f>
        <v>12589.43</v>
      </c>
      <c r="H11" s="41" t="n">
        <f aca="false">SUM(H7:H10)</f>
        <v>33888.23</v>
      </c>
      <c r="I11" s="41" t="n">
        <f aca="false">SUM(I7:I10)</f>
        <v>12773.75</v>
      </c>
      <c r="J11" s="41" t="n">
        <f aca="false">SUM(J7:J10)</f>
        <v>10331</v>
      </c>
      <c r="K11" s="41" t="n">
        <f aca="false">SUM(K7:K10)</f>
        <v>13051.64</v>
      </c>
      <c r="L11" s="41" t="n">
        <f aca="false">SUM(L7:L10)</f>
        <v>26314.55</v>
      </c>
      <c r="M11" s="41" t="n">
        <f aca="false">SUM(M7:M10)</f>
        <v>10979</v>
      </c>
      <c r="N11" s="41" t="n">
        <f aca="false">SUM(N7:N10)</f>
        <v>10643.66</v>
      </c>
      <c r="O11" s="41" t="n">
        <f aca="false">SUM(C11:N11)</f>
        <v>218895.77</v>
      </c>
      <c r="P11" s="77" t="n">
        <v>1</v>
      </c>
      <c r="Q11" s="1"/>
      <c r="R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21.75" hidden="false" customHeight="true" outlineLevel="0" collapsed="false">
      <c r="A13" s="1"/>
      <c r="B13" s="82" t="s">
        <v>198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1"/>
      <c r="R13" s="1"/>
    </row>
    <row r="14" customFormat="false" ht="19.5" hidden="false" customHeight="true" outlineLevel="0" collapsed="false">
      <c r="A14" s="1"/>
      <c r="B14" s="84" t="s">
        <v>199</v>
      </c>
      <c r="C14" s="85" t="n">
        <f aca="false">SUMIFS(Raw_Meta!$L$6:$L$28,Raw_Meta!$N$6:$N$28,"Jan-25")</f>
        <v>19700</v>
      </c>
      <c r="D14" s="85" t="n">
        <f aca="false">SUMIFS(Raw_Meta!$L$6:$L$28,Raw_Meta!$N$6:$N$28,"Feb-25")</f>
        <v>16300</v>
      </c>
      <c r="E14" s="85" t="n">
        <f aca="false">SUMIFS(Raw_Meta!$L$6:$L$28,Raw_Meta!$N$6:$N$28,"Mar-25")</f>
        <v>30300</v>
      </c>
      <c r="F14" s="85" t="n">
        <f aca="false">SUMIFS(Raw_Meta!$L$6:$L$28,Raw_Meta!$N$6:$N$28,"Apr-25")</f>
        <v>9300</v>
      </c>
      <c r="G14" s="85" t="n">
        <f aca="false">SUMIFS(Raw_Meta!$L$6:$L$28,Raw_Meta!$N$6:$N$28,"May-25")</f>
        <v>17300</v>
      </c>
      <c r="H14" s="85" t="n">
        <f aca="false">SUMIFS(Raw_Meta!$L$6:$L$28,Raw_Meta!$N$6:$N$28,"Jun-25")</f>
        <v>12400</v>
      </c>
      <c r="I14" s="85" t="n">
        <f aca="false">SUMIFS(Raw_Meta!$L$6:$L$28,Raw_Meta!$N$6:$N$28,"Jul-25")</f>
        <v>14000</v>
      </c>
      <c r="J14" s="85" t="n">
        <f aca="false">SUMIFS(Raw_Meta!$L$6:$L$28,Raw_Meta!$N$6:$N$28,"Aug-25")</f>
        <v>4500</v>
      </c>
      <c r="K14" s="85" t="n">
        <f aca="false">SUMIFS(Raw_Meta!$L$6:$L$28,Raw_Meta!$N$6:$N$28,"Sep-25")</f>
        <v>9800</v>
      </c>
      <c r="L14" s="85" t="n">
        <f aca="false">SUMIFS(Raw_Meta!$L$6:$L$28,Raw_Meta!$N$6:$N$28,"Oct-25")</f>
        <v>0</v>
      </c>
      <c r="M14" s="85" t="n">
        <f aca="false">SUMIFS(Raw_Meta!$L$6:$L$28,Raw_Meta!$N$6:$N$28,"Nov-25")</f>
        <v>0</v>
      </c>
      <c r="N14" s="85" t="n">
        <f aca="false">SUMIFS(Raw_Meta!$L$6:$L$28,Raw_Meta!$N$6:$N$28,"Dec-25")</f>
        <v>0</v>
      </c>
      <c r="O14" s="86" t="n">
        <f aca="false">SUM(C14:N14)</f>
        <v>133600</v>
      </c>
      <c r="P14" s="87"/>
      <c r="Q14" s="1"/>
      <c r="R14" s="1"/>
    </row>
    <row r="15" customFormat="false" ht="24" hidden="false" customHeight="true" outlineLevel="0" collapsed="false">
      <c r="A15" s="1"/>
      <c r="B15" s="40" t="s">
        <v>200</v>
      </c>
      <c r="C15" s="41" t="n">
        <f aca="false">C14</f>
        <v>19700</v>
      </c>
      <c r="D15" s="41" t="n">
        <f aca="false">D14</f>
        <v>16300</v>
      </c>
      <c r="E15" s="41" t="n">
        <f aca="false">E14</f>
        <v>30300</v>
      </c>
      <c r="F15" s="41" t="n">
        <f aca="false">F14</f>
        <v>9300</v>
      </c>
      <c r="G15" s="41" t="n">
        <f aca="false">G14</f>
        <v>17300</v>
      </c>
      <c r="H15" s="41" t="n">
        <f aca="false">H14</f>
        <v>12400</v>
      </c>
      <c r="I15" s="41" t="n">
        <f aca="false">I14</f>
        <v>14000</v>
      </c>
      <c r="J15" s="41" t="n">
        <f aca="false">J14</f>
        <v>4500</v>
      </c>
      <c r="K15" s="41" t="n">
        <f aca="false">K14</f>
        <v>9800</v>
      </c>
      <c r="L15" s="41" t="n">
        <f aca="false">L14</f>
        <v>0</v>
      </c>
      <c r="M15" s="41" t="n">
        <f aca="false">M14</f>
        <v>0</v>
      </c>
      <c r="N15" s="41" t="n">
        <f aca="false">N14</f>
        <v>0</v>
      </c>
      <c r="O15" s="41" t="n">
        <f aca="false">SUM(C15:N15)</f>
        <v>133600</v>
      </c>
      <c r="P15" s="77" t="n">
        <f aca="false">IFERROR(O15/$O$11,0)</f>
        <v>0.610336143087644</v>
      </c>
      <c r="Q15" s="1"/>
      <c r="R15" s="1"/>
    </row>
    <row r="16" customFormat="false" ht="24" hidden="false" customHeight="true" outlineLevel="0" collapsed="false">
      <c r="A16" s="1"/>
      <c r="B16" s="88" t="s">
        <v>201</v>
      </c>
      <c r="C16" s="89" t="n">
        <f aca="false">C11-C15</f>
        <v>6037.51</v>
      </c>
      <c r="D16" s="89" t="n">
        <f aca="false">D11-D15</f>
        <v>6734.3</v>
      </c>
      <c r="E16" s="89" t="n">
        <f aca="false">E11-E15</f>
        <v>-3835.56</v>
      </c>
      <c r="F16" s="89" t="n">
        <f aca="false">F11-F15</f>
        <v>3788.26</v>
      </c>
      <c r="G16" s="89" t="n">
        <f aca="false">G11-G15</f>
        <v>-4710.57</v>
      </c>
      <c r="H16" s="89" t="n">
        <f aca="false">H11-H15</f>
        <v>21488.23</v>
      </c>
      <c r="I16" s="89" t="n">
        <f aca="false">I11-I15</f>
        <v>-1226.25</v>
      </c>
      <c r="J16" s="89" t="n">
        <f aca="false">J11-J15</f>
        <v>5831</v>
      </c>
      <c r="K16" s="89" t="n">
        <f aca="false">K11-K15</f>
        <v>3251.64</v>
      </c>
      <c r="L16" s="89" t="n">
        <f aca="false">L11-L15</f>
        <v>26314.55</v>
      </c>
      <c r="M16" s="89" t="n">
        <f aca="false">M11-M15</f>
        <v>10979</v>
      </c>
      <c r="N16" s="89" t="n">
        <f aca="false">N11-N15</f>
        <v>10643.66</v>
      </c>
      <c r="O16" s="89" t="n">
        <f aca="false">SUM(C16:N16)</f>
        <v>85295.77</v>
      </c>
      <c r="P16" s="90" t="n">
        <f aca="false">IFERROR(O16/$O$11,0)</f>
        <v>0.389663856912356</v>
      </c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21.75" hidden="false" customHeight="true" outlineLevel="0" collapsed="false">
      <c r="A18" s="1"/>
      <c r="B18" s="82" t="s">
        <v>202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1"/>
      <c r="R18" s="1"/>
    </row>
    <row r="19" customFormat="false" ht="19.5" hidden="false" customHeight="true" outlineLevel="0" collapsed="false">
      <c r="A19" s="1"/>
      <c r="B19" s="78" t="s">
        <v>203</v>
      </c>
      <c r="C19" s="37" t="n">
        <f aca="false">SUMIFS(Raw_Stripe!$I$6:$I$49,Raw_Stripe!$M$6:$M$49,"Jan-25")</f>
        <v>1196.9</v>
      </c>
      <c r="D19" s="37" t="n">
        <f aca="false">SUMIFS(Raw_Stripe!$I$6:$I$49,Raw_Stripe!$M$6:$M$49,"Feb-25")</f>
        <v>837</v>
      </c>
      <c r="E19" s="37" t="n">
        <f aca="false">SUMIFS(Raw_Stripe!$I$6:$I$49,Raw_Stripe!$M$6:$M$49,"Mar-25")</f>
        <v>1230.3</v>
      </c>
      <c r="F19" s="37" t="n">
        <f aca="false">SUMIFS(Raw_Stripe!$I$6:$I$49,Raw_Stripe!$M$6:$M$49,"Apr-25")</f>
        <v>523.5</v>
      </c>
      <c r="G19" s="37" t="n">
        <f aca="false">SUMIFS(Raw_Stripe!$I$6:$I$49,Raw_Stripe!$M$6:$M$49,"May-25")</f>
        <v>614.2</v>
      </c>
      <c r="H19" s="37" t="n">
        <f aca="false">SUMIFS(Raw_Stripe!$I$6:$I$49,Raw_Stripe!$M$6:$M$49,"Jun-25")</f>
        <v>1156.7</v>
      </c>
      <c r="I19" s="37" t="n">
        <f aca="false">SUMIFS(Raw_Stripe!$I$6:$I$49,Raw_Stripe!$M$6:$M$49,"Jul-25")</f>
        <v>717.1</v>
      </c>
      <c r="J19" s="37" t="n">
        <f aca="false">SUMIFS(Raw_Stripe!$I$6:$I$49,Raw_Stripe!$M$6:$M$49,"Aug-25")</f>
        <v>332.6</v>
      </c>
      <c r="K19" s="37" t="n">
        <f aca="false">SUMIFS(Raw_Stripe!$I$6:$I$49,Raw_Stripe!$M$6:$M$49,"Sep-25")</f>
        <v>325.2</v>
      </c>
      <c r="L19" s="37" t="n">
        <f aca="false">SUMIFS(Raw_Stripe!$I$6:$I$49,Raw_Stripe!$M$6:$M$49,"Oct-25")</f>
        <v>0</v>
      </c>
      <c r="M19" s="37" t="n">
        <f aca="false">SUMIFS(Raw_Stripe!$I$6:$I$49,Raw_Stripe!$M$6:$M$49,"Nov-25")</f>
        <v>0</v>
      </c>
      <c r="N19" s="37" t="n">
        <f aca="false">SUMIFS(Raw_Stripe!$I$6:$I$49,Raw_Stripe!$M$6:$M$49,"Dec-25")</f>
        <v>0</v>
      </c>
      <c r="O19" s="79" t="n">
        <f aca="false">SUM(C19:N19)</f>
        <v>6933.5</v>
      </c>
      <c r="P19" s="48" t="n">
        <f aca="false">IFERROR(O19/$O$11,0)</f>
        <v>0.0316748925755852</v>
      </c>
      <c r="Q19" s="1"/>
      <c r="R19" s="1"/>
    </row>
    <row r="20" customFormat="false" ht="19.5" hidden="false" customHeight="true" outlineLevel="0" collapsed="false">
      <c r="A20" s="1"/>
      <c r="B20" s="80" t="s">
        <v>204</v>
      </c>
      <c r="C20" s="39" t="n">
        <f aca="false">SUMIFS(Raw_Bank!$H$6:$H$26,Raw_Bank!$J$6:$J$26,"Jan-25",Raw_Bank!$E$6:$E$26,"&gt;0")</f>
        <v>-53.235</v>
      </c>
      <c r="D20" s="39" t="n">
        <f aca="false">SUMIFS(Raw_Bank!$H$6:$H$26,Raw_Bank!$J$6:$J$26,"Feb-25",Raw_Bank!$E$6:$E$26,"&gt;0")</f>
        <v>-27.23</v>
      </c>
      <c r="E20" s="39" t="n">
        <f aca="false">SUMIFS(Raw_Bank!$H$6:$H$26,Raw_Bank!$J$6:$J$26,"Mar-25",Raw_Bank!$E$6:$E$26,"&gt;0")</f>
        <v>-27.23</v>
      </c>
      <c r="F20" s="39" t="n">
        <f aca="false">SUMIFS(Raw_Bank!$H$6:$H$26,Raw_Bank!$J$6:$J$26,"Apr-25",Raw_Bank!$E$6:$E$26,"&gt;0")</f>
        <v>-27.23</v>
      </c>
      <c r="G20" s="39" t="n">
        <f aca="false">SUMIFS(Raw_Bank!$H$6:$H$26,Raw_Bank!$J$6:$J$26,"May-25",Raw_Bank!$E$6:$E$26,"&gt;0")</f>
        <v>0</v>
      </c>
      <c r="H20" s="39" t="n">
        <f aca="false">SUMIFS(Raw_Bank!$H$6:$H$26,Raw_Bank!$J$6:$J$26,"Jun-25",Raw_Bank!$E$6:$E$26,"&gt;0")</f>
        <v>-27.23</v>
      </c>
      <c r="I20" s="39" t="n">
        <f aca="false">SUMIFS(Raw_Bank!$H$6:$H$26,Raw_Bank!$J$6:$J$26,"Jul-25",Raw_Bank!$E$6:$E$26,"&gt;0")</f>
        <v>0</v>
      </c>
      <c r="J20" s="39" t="n">
        <f aca="false">SUMIFS(Raw_Bank!$H$6:$H$26,Raw_Bank!$J$6:$J$26,"Aug-25",Raw_Bank!$E$6:$E$26,"&gt;0")</f>
        <v>0</v>
      </c>
      <c r="K20" s="39" t="n">
        <f aca="false">SUMIFS(Raw_Bank!$H$6:$H$26,Raw_Bank!$J$6:$J$26,"Sep-25",Raw_Bank!$E$6:$E$26,"&gt;0")</f>
        <v>-27.23</v>
      </c>
      <c r="L20" s="39" t="n">
        <f aca="false">SUMIFS(Raw_Bank!$H$6:$H$26,Raw_Bank!$J$6:$J$26,"Oct-25",Raw_Bank!$E$6:$E$26,"&gt;0")</f>
        <v>0</v>
      </c>
      <c r="M20" s="39" t="n">
        <f aca="false">SUMIFS(Raw_Bank!$H$6:$H$26,Raw_Bank!$J$6:$J$26,"Nov-25",Raw_Bank!$E$6:$E$26,"&gt;0")</f>
        <v>0</v>
      </c>
      <c r="N20" s="39" t="n">
        <f aca="false">SUMIFS(Raw_Bank!$H$6:$H$26,Raw_Bank!$J$6:$J$26,"Dec-25",Raw_Bank!$E$6:$E$26,"&gt;0")</f>
        <v>0</v>
      </c>
      <c r="O20" s="81" t="n">
        <f aca="false">SUM(C20:N20)</f>
        <v>-189.385</v>
      </c>
      <c r="P20" s="53" t="n">
        <f aca="false">IFERROR(O20/$O$11,0)</f>
        <v>-0.000865183461516867</v>
      </c>
      <c r="Q20" s="1"/>
      <c r="R20" s="1"/>
    </row>
    <row r="21" customFormat="false" ht="19.5" hidden="false" customHeight="true" outlineLevel="0" collapsed="false">
      <c r="A21" s="1"/>
      <c r="B21" s="78" t="s">
        <v>205</v>
      </c>
      <c r="C21" s="37" t="n">
        <f aca="false">SUMIFS(Raw_Xero!$I$6:$I$30,Raw_Xero!$K$6:$K$30,"Jan-25",Raw_Xero!$C$6:$C$30,"5000")</f>
        <v>28599.5</v>
      </c>
      <c r="D21" s="37" t="n">
        <f aca="false">SUMIFS(Raw_Xero!$I$6:$I$30,Raw_Xero!$K$6:$K$30,"Feb-25",Raw_Xero!$C$6:$C$30,"5000")</f>
        <v>29887.1</v>
      </c>
      <c r="E21" s="37" t="n">
        <f aca="false">SUMIFS(Raw_Xero!$I$6:$I$30,Raw_Xero!$K$6:$K$30,"Mar-25",Raw_Xero!$C$6:$C$30,"5000")</f>
        <v>31447</v>
      </c>
      <c r="F21" s="37" t="n">
        <f aca="false">SUMIFS(Raw_Xero!$I$6:$I$30,Raw_Xero!$K$6:$K$30,"Apr-25",Raw_Xero!$C$6:$C$30,"5000")</f>
        <v>32747.1</v>
      </c>
      <c r="G21" s="37" t="n">
        <f aca="false">SUMIFS(Raw_Xero!$I$6:$I$30,Raw_Xero!$K$6:$K$30,"May-25",Raw_Xero!$C$6:$C$30,"5000")</f>
        <v>14976.5</v>
      </c>
      <c r="H21" s="37" t="n">
        <f aca="false">SUMIFS(Raw_Xero!$I$6:$I$30,Raw_Xero!$K$6:$K$30,"Jun-25",Raw_Xero!$C$6:$C$30,"5000")</f>
        <v>15793.4</v>
      </c>
      <c r="I21" s="37" t="n">
        <f aca="false">SUMIFS(Raw_Xero!$I$6:$I$30,Raw_Xero!$K$6:$K$30,"Jul-25",Raw_Xero!$C$6:$C$30,"5000")</f>
        <v>16882.6</v>
      </c>
      <c r="J21" s="37" t="n">
        <f aca="false">SUMIFS(Raw_Xero!$I$6:$I$30,Raw_Xero!$K$6:$K$30,"Aug-25",Raw_Xero!$C$6:$C$30,"5000")</f>
        <v>0</v>
      </c>
      <c r="K21" s="37" t="n">
        <f aca="false">SUMIFS(Raw_Xero!$I$6:$I$30,Raw_Xero!$K$6:$K$30,"Sep-25",Raw_Xero!$C$6:$C$30,"5000")</f>
        <v>0</v>
      </c>
      <c r="L21" s="37" t="n">
        <f aca="false">SUMIFS(Raw_Xero!$I$6:$I$30,Raw_Xero!$K$6:$K$30,"Oct-25",Raw_Xero!$C$6:$C$30,"5000")</f>
        <v>0</v>
      </c>
      <c r="M21" s="37" t="n">
        <f aca="false">SUMIFS(Raw_Xero!$I$6:$I$30,Raw_Xero!$K$6:$K$30,"Nov-25",Raw_Xero!$C$6:$C$30,"5000")</f>
        <v>0</v>
      </c>
      <c r="N21" s="37" t="n">
        <f aca="false">SUMIFS(Raw_Xero!$I$6:$I$30,Raw_Xero!$K$6:$K$30,"Dec-25",Raw_Xero!$C$6:$C$30,"5000")</f>
        <v>0</v>
      </c>
      <c r="O21" s="79" t="n">
        <f aca="false">SUM(C21:N21)</f>
        <v>170333.2</v>
      </c>
      <c r="P21" s="48" t="n">
        <f aca="false">IFERROR(O21/$O$11,0)</f>
        <v>0.778147517423475</v>
      </c>
      <c r="Q21" s="1"/>
      <c r="R21" s="1"/>
    </row>
    <row r="22" customFormat="false" ht="19.5" hidden="false" customHeight="true" outlineLevel="0" collapsed="false">
      <c r="A22" s="1"/>
      <c r="B22" s="80" t="s">
        <v>206</v>
      </c>
      <c r="C22" s="39" t="n">
        <f aca="false">SUMIFS(Raw_Xero!$I$6:$I$30,Raw_Xero!$K$6:$K$30,"Jan-25",Raw_Xero!$C$6:$C$30,"4000")</f>
        <v>9211.6</v>
      </c>
      <c r="D22" s="39" t="n">
        <f aca="false">SUMIFS(Raw_Xero!$I$6:$I$30,Raw_Xero!$K$6:$K$30,"Feb-25",Raw_Xero!$C$6:$C$30,"4000")</f>
        <v>9211.6</v>
      </c>
      <c r="E22" s="39" t="n">
        <f aca="false">SUMIFS(Raw_Xero!$I$6:$I$30,Raw_Xero!$K$6:$K$30,"Mar-25",Raw_Xero!$C$6:$C$30,"4000")</f>
        <v>9211.6</v>
      </c>
      <c r="F22" s="39" t="n">
        <f aca="false">SUMIFS(Raw_Xero!$I$6:$I$30,Raw_Xero!$K$6:$K$30,"Apr-25",Raw_Xero!$C$6:$C$30,"4000")</f>
        <v>9215.6</v>
      </c>
      <c r="G22" s="39" t="n">
        <f aca="false">SUMIFS(Raw_Xero!$I$6:$I$30,Raw_Xero!$K$6:$K$30,"May-25",Raw_Xero!$C$6:$C$30,"4000")</f>
        <v>3267.6</v>
      </c>
      <c r="H22" s="39" t="n">
        <f aca="false">SUMIFS(Raw_Xero!$I$6:$I$30,Raw_Xero!$K$6:$K$30,"Jun-25",Raw_Xero!$C$6:$C$30,"4000")</f>
        <v>3267.6</v>
      </c>
      <c r="I22" s="39" t="n">
        <f aca="false">SUMIFS(Raw_Xero!$I$6:$I$30,Raw_Xero!$K$6:$K$30,"Jul-25",Raw_Xero!$C$6:$C$30,"4000")</f>
        <v>3403.75</v>
      </c>
      <c r="J22" s="39" t="n">
        <f aca="false">SUMIFS(Raw_Xero!$I$6:$I$30,Raw_Xero!$K$6:$K$30,"Aug-25",Raw_Xero!$C$6:$C$30,"4000")</f>
        <v>0</v>
      </c>
      <c r="K22" s="39" t="n">
        <f aca="false">SUMIFS(Raw_Xero!$I$6:$I$30,Raw_Xero!$K$6:$K$30,"Sep-25",Raw_Xero!$C$6:$C$30,"4000")</f>
        <v>0</v>
      </c>
      <c r="L22" s="39" t="n">
        <f aca="false">SUMIFS(Raw_Xero!$I$6:$I$30,Raw_Xero!$K$6:$K$30,"Oct-25",Raw_Xero!$C$6:$C$30,"4000")</f>
        <v>0</v>
      </c>
      <c r="M22" s="39" t="n">
        <f aca="false">SUMIFS(Raw_Xero!$I$6:$I$30,Raw_Xero!$K$6:$K$30,"Nov-25",Raw_Xero!$C$6:$C$30,"4000")</f>
        <v>0</v>
      </c>
      <c r="N22" s="39" t="n">
        <f aca="false">SUMIFS(Raw_Xero!$I$6:$I$30,Raw_Xero!$K$6:$K$30,"Dec-25",Raw_Xero!$C$6:$C$30,"4000")</f>
        <v>0</v>
      </c>
      <c r="O22" s="81" t="n">
        <f aca="false">SUM(C22:N22)</f>
        <v>46789.35</v>
      </c>
      <c r="P22" s="53" t="n">
        <f aca="false">IFERROR(O22/$O$11,0)</f>
        <v>0.213751732160014</v>
      </c>
      <c r="Q22" s="1"/>
      <c r="R22" s="1"/>
    </row>
    <row r="23" customFormat="false" ht="19.5" hidden="false" customHeight="true" outlineLevel="0" collapsed="false">
      <c r="A23" s="1"/>
      <c r="B23" s="78" t="s">
        <v>207</v>
      </c>
      <c r="C23" s="37" t="n">
        <f aca="false">SUMIFS(Raw_Xero!$I$6:$I$30,Raw_Xero!$K$6:$K$30,"Jan-25",Raw_Xero!$C$6:$C$30,"6100")</f>
        <v>680.75</v>
      </c>
      <c r="D23" s="37" t="n">
        <f aca="false">SUMIFS(Raw_Xero!$I$6:$I$30,Raw_Xero!$K$6:$K$30,"Feb-25",Raw_Xero!$C$6:$C$30,"6100")</f>
        <v>707.98</v>
      </c>
      <c r="E23" s="37" t="n">
        <f aca="false">SUMIFS(Raw_Xero!$I$6:$I$30,Raw_Xero!$K$6:$K$30,"Mar-25",Raw_Xero!$C$6:$C$30,"6100")</f>
        <v>653.52</v>
      </c>
      <c r="F23" s="37" t="n">
        <f aca="false">SUMIFS(Raw_Xero!$I$6:$I$30,Raw_Xero!$K$6:$K$30,"Apr-25",Raw_Xero!$C$6:$C$30,"6100")</f>
        <v>0</v>
      </c>
      <c r="G23" s="37" t="n">
        <f aca="false">SUMIFS(Raw_Xero!$I$6:$I$30,Raw_Xero!$K$6:$K$30,"May-25",Raw_Xero!$C$6:$C$30,"6100")</f>
        <v>0</v>
      </c>
      <c r="H23" s="37" t="n">
        <f aca="false">SUMIFS(Raw_Xero!$I$6:$I$30,Raw_Xero!$K$6:$K$30,"Jun-25",Raw_Xero!$C$6:$C$30,"6100")</f>
        <v>0</v>
      </c>
      <c r="I23" s="37" t="n">
        <f aca="false">SUMIFS(Raw_Xero!$I$6:$I$30,Raw_Xero!$K$6:$K$30,"Jul-25",Raw_Xero!$C$6:$C$30,"6100")</f>
        <v>0</v>
      </c>
      <c r="J23" s="37" t="n">
        <f aca="false">SUMIFS(Raw_Xero!$I$6:$I$30,Raw_Xero!$K$6:$K$30,"Aug-25",Raw_Xero!$C$6:$C$30,"6100")</f>
        <v>0</v>
      </c>
      <c r="K23" s="37" t="n">
        <f aca="false">SUMIFS(Raw_Xero!$I$6:$I$30,Raw_Xero!$K$6:$K$30,"Sep-25",Raw_Xero!$C$6:$C$30,"6100")</f>
        <v>0</v>
      </c>
      <c r="L23" s="37" t="n">
        <f aca="false">SUMIFS(Raw_Xero!$I$6:$I$30,Raw_Xero!$K$6:$K$30,"Oct-25",Raw_Xero!$C$6:$C$30,"6100")</f>
        <v>0</v>
      </c>
      <c r="M23" s="37" t="n">
        <f aca="false">SUMIFS(Raw_Xero!$I$6:$I$30,Raw_Xero!$K$6:$K$30,"Nov-25",Raw_Xero!$C$6:$C$30,"6100")</f>
        <v>0</v>
      </c>
      <c r="N23" s="37" t="n">
        <f aca="false">SUMIFS(Raw_Xero!$I$6:$I$30,Raw_Xero!$K$6:$K$30,"Dec-25",Raw_Xero!$C$6:$C$30,"6100")</f>
        <v>0</v>
      </c>
      <c r="O23" s="79" t="n">
        <f aca="false">SUM(C23:N23)</f>
        <v>2042.25</v>
      </c>
      <c r="P23" s="48" t="n">
        <f aca="false">IFERROR(O23/$O$11,0)</f>
        <v>0.00932978284596363</v>
      </c>
      <c r="Q23" s="1"/>
      <c r="R23" s="1"/>
    </row>
    <row r="24" customFormat="false" ht="24" hidden="false" customHeight="true" outlineLevel="0" collapsed="false">
      <c r="A24" s="1"/>
      <c r="B24" s="40" t="s">
        <v>208</v>
      </c>
      <c r="C24" s="41" t="n">
        <f aca="false">SUM(C19:C23)</f>
        <v>39635.515</v>
      </c>
      <c r="D24" s="41" t="n">
        <f aca="false">SUM(D19:D23)</f>
        <v>40616.45</v>
      </c>
      <c r="E24" s="41" t="n">
        <f aca="false">SUM(E19:E23)</f>
        <v>42515.19</v>
      </c>
      <c r="F24" s="41" t="n">
        <f aca="false">SUM(F19:F23)</f>
        <v>42458.97</v>
      </c>
      <c r="G24" s="41" t="n">
        <f aca="false">SUM(G19:G23)</f>
        <v>18858.3</v>
      </c>
      <c r="H24" s="41" t="n">
        <f aca="false">SUM(H19:H23)</f>
        <v>20190.47</v>
      </c>
      <c r="I24" s="41" t="n">
        <f aca="false">SUM(I19:I23)</f>
        <v>21003.45</v>
      </c>
      <c r="J24" s="41" t="n">
        <f aca="false">SUM(J19:J23)</f>
        <v>332.6</v>
      </c>
      <c r="K24" s="41" t="n">
        <f aca="false">SUM(K19:K23)</f>
        <v>297.97</v>
      </c>
      <c r="L24" s="41" t="n">
        <f aca="false">SUM(L19:L23)</f>
        <v>0</v>
      </c>
      <c r="M24" s="41" t="n">
        <f aca="false">SUM(M19:M23)</f>
        <v>0</v>
      </c>
      <c r="N24" s="41" t="n">
        <f aca="false">SUM(N19:N23)</f>
        <v>0</v>
      </c>
      <c r="O24" s="41" t="n">
        <f aca="false">SUM(C24:N24)</f>
        <v>225908.915</v>
      </c>
      <c r="P24" s="77" t="n">
        <f aca="false">IFERROR(O24/$O$11,0)</f>
        <v>1.03203874154352</v>
      </c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7.75" hidden="false" customHeight="true" outlineLevel="0" collapsed="false">
      <c r="A26" s="1"/>
      <c r="B26" s="91" t="s">
        <v>209</v>
      </c>
      <c r="C26" s="92" t="n">
        <f aca="false">C16-C24</f>
        <v>-33598.005</v>
      </c>
      <c r="D26" s="92" t="n">
        <f aca="false">D16-D24</f>
        <v>-33882.15</v>
      </c>
      <c r="E26" s="92" t="n">
        <f aca="false">E16-E24</f>
        <v>-46350.75</v>
      </c>
      <c r="F26" s="92" t="n">
        <f aca="false">F16-F24</f>
        <v>-38670.71</v>
      </c>
      <c r="G26" s="92" t="n">
        <f aca="false">G16-G24</f>
        <v>-23568.87</v>
      </c>
      <c r="H26" s="92" t="n">
        <f aca="false">H16-H24</f>
        <v>1297.76</v>
      </c>
      <c r="I26" s="92" t="n">
        <f aca="false">I16-I24</f>
        <v>-22229.7</v>
      </c>
      <c r="J26" s="92" t="n">
        <f aca="false">J16-J24</f>
        <v>5498.4</v>
      </c>
      <c r="K26" s="92" t="n">
        <f aca="false">K16-K24</f>
        <v>2953.67</v>
      </c>
      <c r="L26" s="92" t="n">
        <f aca="false">L16-L24</f>
        <v>26314.55</v>
      </c>
      <c r="M26" s="92" t="n">
        <f aca="false">M16-M24</f>
        <v>10979</v>
      </c>
      <c r="N26" s="92" t="n">
        <f aca="false">N16-N24</f>
        <v>10643.66</v>
      </c>
      <c r="O26" s="92" t="n">
        <f aca="false">SUM(C26:N26)</f>
        <v>-140613.145</v>
      </c>
      <c r="P26" s="93" t="n">
        <f aca="false">IFERROR(O26/$O$11,0)</f>
        <v>-0.642374884631165</v>
      </c>
      <c r="Q26" s="1"/>
      <c r="R26" s="1"/>
    </row>
    <row r="27" customFormat="false" ht="18" hidden="false" customHeight="true" outlineLevel="0" collapsed="false">
      <c r="A27" s="1"/>
      <c r="B27" s="42" t="s">
        <v>210</v>
      </c>
      <c r="C27" s="44" t="n">
        <f aca="false">IFERROR(C26/C11,0)</f>
        <v>-1.30541008046233</v>
      </c>
      <c r="D27" s="44" t="n">
        <f aca="false">IFERROR(D26/D11,0)</f>
        <v>-1.47094333233482</v>
      </c>
      <c r="E27" s="44" t="n">
        <f aca="false">IFERROR(E26/E11,0)</f>
        <v>-1.75143513333364</v>
      </c>
      <c r="F27" s="44" t="n">
        <f aca="false">IFERROR(F26/F11,0)</f>
        <v>-2.95461046770159</v>
      </c>
      <c r="G27" s="44" t="n">
        <f aca="false">IFERROR(G26/G11,0)</f>
        <v>-1.8721157351842</v>
      </c>
      <c r="H27" s="44" t="n">
        <f aca="false">IFERROR(H26/H11,0)</f>
        <v>0.0382953019381655</v>
      </c>
      <c r="I27" s="44" t="n">
        <f aca="false">IFERROR(I26/I11,0)</f>
        <v>-1.74026421371954</v>
      </c>
      <c r="J27" s="44" t="n">
        <f aca="false">IFERROR(J26/J11,0)</f>
        <v>0.532223405285064</v>
      </c>
      <c r="K27" s="44" t="n">
        <f aca="false">IFERROR(K26/K11,0)</f>
        <v>0.226306425859126</v>
      </c>
      <c r="L27" s="44" t="n">
        <f aca="false">IFERROR(L26/L11,0)</f>
        <v>1</v>
      </c>
      <c r="M27" s="44" t="n">
        <f aca="false">IFERROR(M26/M11,0)</f>
        <v>1</v>
      </c>
      <c r="N27" s="44" t="n">
        <f aca="false">IFERROR(N26/N11,0)</f>
        <v>1</v>
      </c>
      <c r="O27" s="44" t="n">
        <f aca="false">IFERROR(O26/O11,0)</f>
        <v>-0.642374884631165</v>
      </c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25.5" hidden="false" customHeight="true" outlineLevel="0" collapsed="false">
      <c r="A30" s="1"/>
      <c r="B30" s="10" t="s">
        <v>211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4">
    <mergeCell ref="B2:P2"/>
    <mergeCell ref="B3:P3"/>
    <mergeCell ref="B5:P5"/>
    <mergeCell ref="B30:P30"/>
  </mergeCells>
  <conditionalFormatting sqref="C26:N26">
    <cfRule type="cellIs" priority="2" operator="greaterThan" aboveAverage="0" equalAverage="0" bottom="0" percent="0" rank="0" text="" dxfId="4">
      <formula>0</formula>
    </cfRule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212</v>
      </c>
      <c r="C2" s="2"/>
      <c r="D2" s="2"/>
      <c r="E2" s="2"/>
      <c r="F2" s="1"/>
      <c r="G2" s="1"/>
      <c r="H2" s="1"/>
      <c r="I2" s="1"/>
      <c r="J2" s="1"/>
    </row>
    <row r="3" customFormat="false" ht="18" hidden="false" customHeight="true" outlineLevel="0" collapsed="false">
      <c r="A3" s="1"/>
      <c r="B3" s="3" t="s">
        <v>213</v>
      </c>
      <c r="C3" s="3"/>
      <c r="D3" s="3"/>
      <c r="E3" s="3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5.5" hidden="false" customHeight="true" outlineLevel="0" collapsed="false">
      <c r="A5" s="1"/>
      <c r="B5" s="5" t="s">
        <v>214</v>
      </c>
      <c r="C5" s="5"/>
      <c r="D5" s="5"/>
      <c r="E5" s="5"/>
      <c r="F5" s="1"/>
      <c r="G5" s="1"/>
      <c r="H5" s="1"/>
      <c r="I5" s="1"/>
      <c r="J5" s="1"/>
    </row>
    <row r="6" customFormat="false" ht="25.5" hidden="false" customHeight="true" outlineLevel="0" collapsed="false">
      <c r="A6" s="1"/>
      <c r="B6" s="94" t="s">
        <v>215</v>
      </c>
      <c r="C6" s="94" t="s">
        <v>216</v>
      </c>
      <c r="D6" s="94" t="s">
        <v>217</v>
      </c>
      <c r="E6" s="94" t="s">
        <v>218</v>
      </c>
      <c r="F6" s="1"/>
      <c r="G6" s="1"/>
      <c r="H6" s="1"/>
      <c r="I6" s="1"/>
      <c r="J6" s="1"/>
    </row>
    <row r="7" customFormat="false" ht="31.5" hidden="false" customHeight="true" outlineLevel="0" collapsed="false">
      <c r="A7" s="1"/>
      <c r="B7" s="95" t="s">
        <v>29</v>
      </c>
      <c r="C7" s="96" t="s">
        <v>219</v>
      </c>
      <c r="D7" s="97" t="s">
        <v>220</v>
      </c>
      <c r="E7" s="98" t="s">
        <v>221</v>
      </c>
      <c r="F7" s="1"/>
      <c r="G7" s="1"/>
      <c r="H7" s="1"/>
      <c r="I7" s="1"/>
      <c r="J7" s="1"/>
    </row>
    <row r="8" customFormat="false" ht="31.5" hidden="false" customHeight="true" outlineLevel="0" collapsed="false">
      <c r="A8" s="1"/>
      <c r="B8" s="95" t="s">
        <v>29</v>
      </c>
      <c r="C8" s="96" t="s">
        <v>222</v>
      </c>
      <c r="D8" s="97" t="s">
        <v>223</v>
      </c>
      <c r="E8" s="98" t="s">
        <v>224</v>
      </c>
      <c r="F8" s="1"/>
      <c r="G8" s="1"/>
      <c r="H8" s="1"/>
      <c r="I8" s="1"/>
      <c r="J8" s="1"/>
    </row>
    <row r="9" customFormat="false" ht="31.5" hidden="false" customHeight="true" outlineLevel="0" collapsed="false">
      <c r="A9" s="1"/>
      <c r="B9" s="95" t="s">
        <v>29</v>
      </c>
      <c r="C9" s="96" t="s">
        <v>225</v>
      </c>
      <c r="D9" s="97" t="s">
        <v>226</v>
      </c>
      <c r="E9" s="98" t="s">
        <v>227</v>
      </c>
      <c r="F9" s="1"/>
      <c r="G9" s="1"/>
      <c r="H9" s="1"/>
      <c r="I9" s="1"/>
      <c r="J9" s="1"/>
    </row>
    <row r="10" customFormat="false" ht="31.5" hidden="false" customHeight="true" outlineLevel="0" collapsed="false">
      <c r="A10" s="1"/>
      <c r="B10" s="95" t="s">
        <v>29</v>
      </c>
      <c r="C10" s="96" t="s">
        <v>228</v>
      </c>
      <c r="D10" s="97" t="s">
        <v>229</v>
      </c>
      <c r="E10" s="98" t="s">
        <v>230</v>
      </c>
      <c r="F10" s="1"/>
      <c r="G10" s="1"/>
      <c r="H10" s="1"/>
      <c r="I10" s="1"/>
      <c r="J10" s="1"/>
    </row>
    <row r="11" customFormat="false" ht="31.5" hidden="false" customHeight="true" outlineLevel="0" collapsed="false">
      <c r="A11" s="1"/>
      <c r="B11" s="99" t="s">
        <v>37</v>
      </c>
      <c r="C11" s="99" t="s">
        <v>231</v>
      </c>
      <c r="D11" s="100" t="s">
        <v>232</v>
      </c>
      <c r="E11" s="100" t="s">
        <v>233</v>
      </c>
      <c r="F11" s="1"/>
      <c r="G11" s="1"/>
      <c r="H11" s="1"/>
      <c r="I11" s="1"/>
      <c r="J11" s="1"/>
    </row>
    <row r="12" customFormat="false" ht="31.5" hidden="false" customHeight="true" outlineLevel="0" collapsed="false">
      <c r="A12" s="1"/>
      <c r="B12" s="99" t="s">
        <v>37</v>
      </c>
      <c r="C12" s="99" t="s">
        <v>234</v>
      </c>
      <c r="D12" s="100" t="s">
        <v>235</v>
      </c>
      <c r="E12" s="100" t="s">
        <v>236</v>
      </c>
      <c r="F12" s="1"/>
      <c r="G12" s="1"/>
      <c r="H12" s="1"/>
      <c r="I12" s="1"/>
      <c r="J12" s="1"/>
    </row>
    <row r="13" customFormat="false" ht="31.5" hidden="false" customHeight="true" outlineLevel="0" collapsed="false">
      <c r="A13" s="1"/>
      <c r="B13" s="95" t="s">
        <v>9</v>
      </c>
      <c r="C13" s="96" t="s">
        <v>237</v>
      </c>
      <c r="D13" s="97" t="s">
        <v>238</v>
      </c>
      <c r="E13" s="98" t="s">
        <v>239</v>
      </c>
      <c r="F13" s="1"/>
      <c r="G13" s="1"/>
      <c r="H13" s="1"/>
      <c r="I13" s="1"/>
      <c r="J13" s="1"/>
    </row>
    <row r="14" customFormat="false" ht="31.5" hidden="false" customHeight="true" outlineLevel="0" collapsed="false">
      <c r="A14" s="1"/>
      <c r="B14" s="95" t="s">
        <v>9</v>
      </c>
      <c r="C14" s="96" t="s">
        <v>240</v>
      </c>
      <c r="D14" s="97" t="s">
        <v>241</v>
      </c>
      <c r="E14" s="98" t="s">
        <v>242</v>
      </c>
      <c r="F14" s="1"/>
      <c r="G14" s="1"/>
      <c r="H14" s="1"/>
      <c r="I14" s="1"/>
      <c r="J14" s="1"/>
    </row>
    <row r="15" customFormat="false" ht="31.5" hidden="false" customHeight="true" outlineLevel="0" collapsed="false">
      <c r="A15" s="1"/>
      <c r="B15" s="95" t="s">
        <v>39</v>
      </c>
      <c r="C15" s="96" t="s">
        <v>243</v>
      </c>
      <c r="D15" s="97" t="s">
        <v>244</v>
      </c>
      <c r="E15" s="98" t="s">
        <v>245</v>
      </c>
      <c r="F15" s="1"/>
      <c r="G15" s="1"/>
      <c r="H15" s="1"/>
      <c r="I15" s="1"/>
      <c r="J15" s="1"/>
    </row>
    <row r="16" customFormat="false" ht="31.5" hidden="false" customHeight="true" outlineLevel="0" collapsed="false">
      <c r="A16" s="1"/>
      <c r="B16" s="95" t="s">
        <v>39</v>
      </c>
      <c r="C16" s="96" t="s">
        <v>246</v>
      </c>
      <c r="D16" s="97" t="s">
        <v>247</v>
      </c>
      <c r="E16" s="98" t="s">
        <v>248</v>
      </c>
      <c r="F16" s="1"/>
      <c r="G16" s="1"/>
      <c r="H16" s="1"/>
      <c r="I16" s="1"/>
      <c r="J16" s="1"/>
    </row>
    <row r="17" customFormat="false" ht="31.5" hidden="false" customHeight="true" outlineLevel="0" collapsed="false">
      <c r="A17" s="1"/>
      <c r="B17" s="95" t="s">
        <v>39</v>
      </c>
      <c r="C17" s="96" t="s">
        <v>249</v>
      </c>
      <c r="D17" s="97" t="s">
        <v>250</v>
      </c>
      <c r="E17" s="98" t="s">
        <v>251</v>
      </c>
      <c r="F17" s="1"/>
      <c r="G17" s="1"/>
      <c r="H17" s="1"/>
      <c r="I17" s="1"/>
      <c r="J17" s="1"/>
    </row>
    <row r="18" customFormat="false" ht="31.5" hidden="false" customHeight="true" outlineLevel="0" collapsed="false">
      <c r="A18" s="1"/>
      <c r="B18" s="95" t="s">
        <v>39</v>
      </c>
      <c r="C18" s="96" t="s">
        <v>252</v>
      </c>
      <c r="D18" s="97" t="s">
        <v>253</v>
      </c>
      <c r="E18" s="98" t="s">
        <v>254</v>
      </c>
      <c r="F18" s="1"/>
      <c r="G18" s="1"/>
      <c r="H18" s="1"/>
      <c r="I18" s="1"/>
      <c r="J18" s="1"/>
    </row>
    <row r="19" customFormat="false" ht="31.5" hidden="false" customHeight="true" outlineLevel="0" collapsed="false">
      <c r="A19" s="1"/>
      <c r="B19" s="95" t="s">
        <v>15</v>
      </c>
      <c r="C19" s="96" t="s">
        <v>255</v>
      </c>
      <c r="D19" s="97" t="s">
        <v>256</v>
      </c>
      <c r="E19" s="98" t="s">
        <v>257</v>
      </c>
      <c r="F19" s="1"/>
      <c r="G19" s="1"/>
      <c r="H19" s="1"/>
      <c r="I19" s="1"/>
      <c r="J19" s="1"/>
    </row>
    <row r="20" customFormat="false" ht="31.5" hidden="false" customHeight="true" outlineLevel="0" collapsed="false">
      <c r="A20" s="1"/>
      <c r="B20" s="95" t="s">
        <v>15</v>
      </c>
      <c r="C20" s="96" t="s">
        <v>258</v>
      </c>
      <c r="D20" s="97" t="s">
        <v>259</v>
      </c>
      <c r="E20" s="98" t="s">
        <v>260</v>
      </c>
      <c r="F20" s="1"/>
      <c r="G20" s="1"/>
      <c r="H20" s="1"/>
      <c r="I20" s="1"/>
      <c r="J20" s="1"/>
    </row>
    <row r="21" customFormat="false" ht="31.5" hidden="false" customHeight="true" outlineLevel="0" collapsed="false">
      <c r="A21" s="1"/>
      <c r="B21" s="95" t="s">
        <v>15</v>
      </c>
      <c r="C21" s="96" t="s">
        <v>261</v>
      </c>
      <c r="D21" s="97" t="s">
        <v>262</v>
      </c>
      <c r="E21" s="98" t="s">
        <v>263</v>
      </c>
      <c r="F21" s="1"/>
      <c r="G21" s="1"/>
      <c r="H21" s="1"/>
      <c r="I21" s="1"/>
      <c r="J21" s="1"/>
    </row>
    <row r="22" customFormat="false" ht="31.5" hidden="false" customHeight="true" outlineLevel="0" collapsed="false">
      <c r="A22" s="1"/>
      <c r="B22" s="95" t="s">
        <v>15</v>
      </c>
      <c r="C22" s="96" t="s">
        <v>264</v>
      </c>
      <c r="D22" s="97" t="s">
        <v>265</v>
      </c>
      <c r="E22" s="98" t="s">
        <v>266</v>
      </c>
      <c r="F22" s="1"/>
      <c r="G22" s="1"/>
      <c r="H22" s="1"/>
      <c r="I22" s="1"/>
      <c r="J22" s="1"/>
    </row>
    <row r="23" customFormat="false" ht="31.5" hidden="false" customHeight="true" outlineLevel="0" collapsed="false">
      <c r="A23" s="1"/>
      <c r="B23" s="95" t="s">
        <v>15</v>
      </c>
      <c r="C23" s="96" t="s">
        <v>267</v>
      </c>
      <c r="D23" s="97" t="s">
        <v>268</v>
      </c>
      <c r="E23" s="98" t="s">
        <v>269</v>
      </c>
      <c r="F23" s="1"/>
      <c r="G23" s="1"/>
      <c r="H23" s="1"/>
      <c r="I23" s="1"/>
      <c r="J23" s="1"/>
    </row>
    <row r="24" customFormat="false" ht="31.5" hidden="false" customHeight="true" outlineLevel="0" collapsed="false">
      <c r="A24" s="1"/>
      <c r="B24" s="99" t="s">
        <v>44</v>
      </c>
      <c r="C24" s="99" t="s">
        <v>255</v>
      </c>
      <c r="D24" s="100" t="s">
        <v>270</v>
      </c>
      <c r="E24" s="100" t="s">
        <v>271</v>
      </c>
      <c r="F24" s="1"/>
      <c r="G24" s="1"/>
      <c r="H24" s="1"/>
      <c r="I24" s="1"/>
      <c r="J24" s="1"/>
    </row>
    <row r="25" customFormat="false" ht="31.5" hidden="false" customHeight="true" outlineLevel="0" collapsed="false">
      <c r="A25" s="1"/>
      <c r="B25" s="95" t="s">
        <v>44</v>
      </c>
      <c r="C25" s="96" t="s">
        <v>258</v>
      </c>
      <c r="D25" s="97" t="s">
        <v>272</v>
      </c>
      <c r="E25" s="98" t="s">
        <v>273</v>
      </c>
      <c r="F25" s="1"/>
      <c r="G25" s="1"/>
      <c r="H25" s="1"/>
      <c r="I25" s="1"/>
      <c r="J25" s="1"/>
    </row>
    <row r="26" customFormat="false" ht="31.5" hidden="false" customHeight="true" outlineLevel="0" collapsed="false">
      <c r="A26" s="1"/>
      <c r="B26" s="95" t="s">
        <v>44</v>
      </c>
      <c r="C26" s="96" t="s">
        <v>261</v>
      </c>
      <c r="D26" s="97" t="s">
        <v>274</v>
      </c>
      <c r="E26" s="98" t="s">
        <v>275</v>
      </c>
      <c r="F26" s="1"/>
      <c r="G26" s="1"/>
      <c r="H26" s="1"/>
      <c r="I26" s="1"/>
      <c r="J26" s="1"/>
    </row>
    <row r="27" customFormat="false" ht="31.5" hidden="false" customHeight="true" outlineLevel="0" collapsed="false">
      <c r="A27" s="1"/>
      <c r="B27" s="99" t="s">
        <v>44</v>
      </c>
      <c r="C27" s="99" t="s">
        <v>264</v>
      </c>
      <c r="D27" s="100" t="s">
        <v>276</v>
      </c>
      <c r="E27" s="100" t="s">
        <v>277</v>
      </c>
      <c r="F27" s="1"/>
      <c r="G27" s="1"/>
      <c r="H27" s="1"/>
      <c r="I27" s="1"/>
      <c r="J27" s="1"/>
    </row>
    <row r="28" customFormat="false" ht="31.5" hidden="false" customHeight="true" outlineLevel="0" collapsed="false">
      <c r="A28" s="1"/>
      <c r="B28" s="95" t="s">
        <v>44</v>
      </c>
      <c r="C28" s="96" t="s">
        <v>278</v>
      </c>
      <c r="D28" s="97" t="s">
        <v>279</v>
      </c>
      <c r="E28" s="98" t="s">
        <v>280</v>
      </c>
      <c r="F28" s="1"/>
      <c r="G28" s="1"/>
      <c r="H28" s="1"/>
      <c r="I28" s="1"/>
      <c r="J28" s="1"/>
    </row>
    <row r="29" customFormat="false" ht="31.5" hidden="false" customHeight="true" outlineLevel="0" collapsed="false">
      <c r="A29" s="1"/>
      <c r="B29" s="95" t="s">
        <v>46</v>
      </c>
      <c r="C29" s="96" t="s">
        <v>281</v>
      </c>
      <c r="D29" s="97" t="s">
        <v>244</v>
      </c>
      <c r="E29" s="98" t="s">
        <v>282</v>
      </c>
      <c r="F29" s="1"/>
      <c r="G29" s="1"/>
      <c r="H29" s="1"/>
      <c r="I29" s="1"/>
      <c r="J29" s="1"/>
    </row>
    <row r="30" customFormat="false" ht="31.5" hidden="false" customHeight="true" outlineLevel="0" collapsed="false">
      <c r="A30" s="1"/>
      <c r="B30" s="95" t="s">
        <v>46</v>
      </c>
      <c r="C30" s="96" t="s">
        <v>283</v>
      </c>
      <c r="D30" s="97" t="s">
        <v>284</v>
      </c>
      <c r="E30" s="98" t="s">
        <v>285</v>
      </c>
      <c r="F30" s="1"/>
      <c r="G30" s="1"/>
      <c r="H30" s="1"/>
      <c r="I30" s="1"/>
      <c r="J30" s="1"/>
    </row>
    <row r="31" customFormat="false" ht="31.5" hidden="false" customHeight="true" outlineLevel="0" collapsed="false">
      <c r="A31" s="1"/>
      <c r="B31" s="99" t="s">
        <v>46</v>
      </c>
      <c r="C31" s="99" t="s">
        <v>286</v>
      </c>
      <c r="D31" s="100" t="s">
        <v>287</v>
      </c>
      <c r="E31" s="100" t="s">
        <v>288</v>
      </c>
      <c r="F31" s="1"/>
      <c r="G31" s="1"/>
      <c r="H31" s="1"/>
      <c r="I31" s="1"/>
      <c r="J31" s="1"/>
    </row>
    <row r="32" customFormat="false" ht="31.5" hidden="false" customHeight="true" outlineLevel="0" collapsed="false">
      <c r="A32" s="1"/>
      <c r="B32" s="95" t="s">
        <v>46</v>
      </c>
      <c r="C32" s="96" t="s">
        <v>289</v>
      </c>
      <c r="D32" s="97" t="s">
        <v>290</v>
      </c>
      <c r="E32" s="98" t="s">
        <v>291</v>
      </c>
      <c r="F32" s="1"/>
      <c r="G32" s="1"/>
      <c r="H32" s="1"/>
      <c r="I32" s="1"/>
      <c r="J32" s="1"/>
    </row>
    <row r="33" customFormat="false" ht="31.5" hidden="false" customHeight="true" outlineLevel="0" collapsed="false">
      <c r="A33" s="1"/>
      <c r="B33" s="95" t="s">
        <v>46</v>
      </c>
      <c r="C33" s="96" t="s">
        <v>292</v>
      </c>
      <c r="D33" s="97" t="s">
        <v>293</v>
      </c>
      <c r="E33" s="98" t="s">
        <v>294</v>
      </c>
      <c r="F33" s="1"/>
      <c r="G33" s="1"/>
      <c r="H33" s="1"/>
      <c r="I33" s="1"/>
      <c r="J33" s="1"/>
    </row>
    <row r="34" customFormat="false" ht="31.5" hidden="false" customHeight="true" outlineLevel="0" collapsed="false">
      <c r="A34" s="1"/>
      <c r="B34" s="95" t="s">
        <v>46</v>
      </c>
      <c r="C34" s="96" t="s">
        <v>295</v>
      </c>
      <c r="D34" s="97" t="s">
        <v>296</v>
      </c>
      <c r="E34" s="98" t="s">
        <v>297</v>
      </c>
      <c r="F34" s="1"/>
      <c r="G34" s="1"/>
      <c r="H34" s="1"/>
      <c r="I34" s="1"/>
      <c r="J34" s="1"/>
    </row>
    <row r="35" customFormat="false" ht="31.5" hidden="false" customHeight="true" outlineLevel="0" collapsed="false">
      <c r="A35" s="1"/>
      <c r="B35" s="95" t="s">
        <v>46</v>
      </c>
      <c r="C35" s="96" t="s">
        <v>298</v>
      </c>
      <c r="D35" s="97" t="s">
        <v>299</v>
      </c>
      <c r="E35" s="98" t="s">
        <v>300</v>
      </c>
      <c r="F35" s="1"/>
      <c r="G35" s="1"/>
      <c r="H35" s="1"/>
      <c r="I35" s="1"/>
      <c r="J35" s="1"/>
    </row>
    <row r="36" customFormat="false" ht="31.5" hidden="false" customHeight="true" outlineLevel="0" collapsed="false">
      <c r="A36" s="1"/>
      <c r="B36" s="95" t="s">
        <v>46</v>
      </c>
      <c r="C36" s="96" t="s">
        <v>301</v>
      </c>
      <c r="D36" s="97" t="s">
        <v>302</v>
      </c>
      <c r="E36" s="98" t="s">
        <v>303</v>
      </c>
      <c r="F36" s="1"/>
      <c r="G36" s="1"/>
      <c r="H36" s="1"/>
      <c r="I36" s="1"/>
      <c r="J36" s="1"/>
    </row>
    <row r="37" customFormat="false" ht="31.5" hidden="false" customHeight="true" outlineLevel="0" collapsed="false">
      <c r="A37" s="1"/>
      <c r="B37" s="95" t="s">
        <v>46</v>
      </c>
      <c r="C37" s="96" t="s">
        <v>304</v>
      </c>
      <c r="D37" s="97" t="s">
        <v>305</v>
      </c>
      <c r="E37" s="98" t="s">
        <v>306</v>
      </c>
      <c r="F37" s="1"/>
      <c r="G37" s="1"/>
      <c r="H37" s="1"/>
      <c r="I37" s="1"/>
      <c r="J37" s="1"/>
    </row>
    <row r="38" customFormat="false" ht="31.5" hidden="false" customHeight="true" outlineLevel="0" collapsed="false">
      <c r="A38" s="1"/>
      <c r="B38" s="95" t="s">
        <v>33</v>
      </c>
      <c r="C38" s="96" t="s">
        <v>307</v>
      </c>
      <c r="D38" s="97" t="s">
        <v>308</v>
      </c>
      <c r="E38" s="98" t="s">
        <v>309</v>
      </c>
      <c r="F38" s="1"/>
      <c r="G38" s="1"/>
      <c r="H38" s="1"/>
      <c r="I38" s="1"/>
      <c r="J38" s="1"/>
    </row>
    <row r="39" customFormat="false" ht="31.5" hidden="false" customHeight="true" outlineLevel="0" collapsed="false">
      <c r="A39" s="1"/>
      <c r="B39" s="95" t="s">
        <v>33</v>
      </c>
      <c r="C39" s="96" t="s">
        <v>310</v>
      </c>
      <c r="D39" s="97" t="s">
        <v>311</v>
      </c>
      <c r="E39" s="98" t="s">
        <v>312</v>
      </c>
      <c r="F39" s="1"/>
      <c r="G39" s="1"/>
      <c r="H39" s="1"/>
      <c r="I39" s="1"/>
      <c r="J39" s="1"/>
    </row>
    <row r="40" customFormat="false" ht="31.5" hidden="false" customHeight="true" outlineLevel="0" collapsed="false">
      <c r="A40" s="1"/>
      <c r="B40" s="95" t="s">
        <v>42</v>
      </c>
      <c r="C40" s="96" t="s">
        <v>255</v>
      </c>
      <c r="D40" s="97" t="s">
        <v>313</v>
      </c>
      <c r="E40" s="98" t="s">
        <v>314</v>
      </c>
      <c r="F40" s="1"/>
      <c r="G40" s="1"/>
      <c r="H40" s="1"/>
      <c r="I40" s="1"/>
      <c r="J40" s="1"/>
    </row>
    <row r="41" customFormat="false" ht="31.5" hidden="false" customHeight="true" outlineLevel="0" collapsed="false">
      <c r="A41" s="1"/>
      <c r="B41" s="99" t="s">
        <v>42</v>
      </c>
      <c r="C41" s="99" t="s">
        <v>315</v>
      </c>
      <c r="D41" s="100" t="s">
        <v>316</v>
      </c>
      <c r="E41" s="100" t="s">
        <v>317</v>
      </c>
      <c r="F41" s="1"/>
      <c r="G41" s="1"/>
      <c r="H41" s="1"/>
      <c r="I41" s="1"/>
      <c r="J41" s="1"/>
    </row>
    <row r="42" customFormat="false" ht="31.5" hidden="false" customHeight="true" outlineLevel="0" collapsed="false">
      <c r="A42" s="1"/>
      <c r="B42" s="95" t="s">
        <v>42</v>
      </c>
      <c r="C42" s="96" t="s">
        <v>318</v>
      </c>
      <c r="D42" s="97" t="s">
        <v>319</v>
      </c>
      <c r="E42" s="98" t="s">
        <v>320</v>
      </c>
      <c r="F42" s="1"/>
      <c r="G42" s="1"/>
      <c r="H42" s="1"/>
      <c r="I42" s="1"/>
      <c r="J42" s="1"/>
    </row>
    <row r="43" customFormat="false" ht="31.5" hidden="false" customHeight="true" outlineLevel="0" collapsed="false">
      <c r="A43" s="1"/>
      <c r="B43" s="95" t="s">
        <v>42</v>
      </c>
      <c r="C43" s="96" t="s">
        <v>321</v>
      </c>
      <c r="D43" s="97" t="s">
        <v>322</v>
      </c>
      <c r="E43" s="98" t="s">
        <v>323</v>
      </c>
      <c r="F43" s="1"/>
      <c r="G43" s="1"/>
      <c r="H43" s="1"/>
      <c r="I43" s="1"/>
      <c r="J43" s="1"/>
    </row>
    <row r="44" customFormat="false" ht="31.5" hidden="false" customHeight="true" outlineLevel="0" collapsed="false">
      <c r="A44" s="1"/>
      <c r="B44" s="95" t="s">
        <v>42</v>
      </c>
      <c r="C44" s="96" t="s">
        <v>324</v>
      </c>
      <c r="D44" s="97" t="s">
        <v>325</v>
      </c>
      <c r="E44" s="98" t="s">
        <v>326</v>
      </c>
      <c r="F44" s="1"/>
      <c r="G44" s="1"/>
      <c r="H44" s="1"/>
      <c r="I44" s="1"/>
      <c r="J44" s="1"/>
    </row>
    <row r="45" customFormat="false" ht="31.5" hidden="false" customHeight="true" outlineLevel="0" collapsed="false">
      <c r="A45" s="1"/>
      <c r="B45" s="99" t="s">
        <v>42</v>
      </c>
      <c r="C45" s="99" t="s">
        <v>327</v>
      </c>
      <c r="D45" s="100" t="s">
        <v>328</v>
      </c>
      <c r="E45" s="100" t="s">
        <v>329</v>
      </c>
      <c r="F45" s="1"/>
      <c r="G45" s="1"/>
      <c r="H45" s="1"/>
      <c r="I45" s="1"/>
      <c r="J45" s="1"/>
    </row>
    <row r="46" customFormat="false" ht="31.5" hidden="false" customHeight="true" outlineLevel="0" collapsed="false">
      <c r="A46" s="1"/>
      <c r="B46" s="95" t="s">
        <v>18</v>
      </c>
      <c r="C46" s="96" t="s">
        <v>330</v>
      </c>
      <c r="D46" s="97" t="s">
        <v>331</v>
      </c>
      <c r="E46" s="98" t="s">
        <v>332</v>
      </c>
      <c r="F46" s="1"/>
      <c r="G46" s="1"/>
      <c r="H46" s="1"/>
      <c r="I46" s="1"/>
      <c r="J46" s="1"/>
    </row>
    <row r="47" customFormat="false" ht="31.5" hidden="false" customHeight="true" outlineLevel="0" collapsed="false">
      <c r="A47" s="1"/>
      <c r="B47" s="95" t="s">
        <v>18</v>
      </c>
      <c r="C47" s="96" t="s">
        <v>333</v>
      </c>
      <c r="D47" s="97" t="s">
        <v>334</v>
      </c>
      <c r="E47" s="98" t="s">
        <v>335</v>
      </c>
      <c r="F47" s="1"/>
      <c r="G47" s="1"/>
      <c r="H47" s="1"/>
      <c r="I47" s="1"/>
      <c r="J47" s="1"/>
    </row>
    <row r="48" customFormat="false" ht="31.5" hidden="false" customHeight="true" outlineLevel="0" collapsed="false">
      <c r="A48" s="1"/>
      <c r="B48" s="95" t="s">
        <v>18</v>
      </c>
      <c r="C48" s="96" t="s">
        <v>336</v>
      </c>
      <c r="D48" s="97" t="s">
        <v>337</v>
      </c>
      <c r="E48" s="98" t="s">
        <v>338</v>
      </c>
      <c r="F48" s="1"/>
      <c r="G48" s="1"/>
      <c r="H48" s="1"/>
      <c r="I48" s="1"/>
      <c r="J48" s="1"/>
    </row>
    <row r="49" customFormat="false" ht="31.5" hidden="false" customHeight="true" outlineLevel="0" collapsed="false">
      <c r="A49" s="1"/>
      <c r="B49" s="95" t="s">
        <v>18</v>
      </c>
      <c r="C49" s="96" t="s">
        <v>339</v>
      </c>
      <c r="D49" s="97" t="s">
        <v>340</v>
      </c>
      <c r="E49" s="98" t="s">
        <v>341</v>
      </c>
      <c r="F49" s="1"/>
      <c r="G49" s="1"/>
      <c r="H49" s="1"/>
      <c r="I49" s="1"/>
      <c r="J49" s="1"/>
    </row>
    <row r="50" customFormat="false" ht="31.5" hidden="false" customHeight="true" outlineLevel="0" collapsed="false">
      <c r="A50" s="1"/>
      <c r="B50" s="95" t="s">
        <v>18</v>
      </c>
      <c r="C50" s="96" t="s">
        <v>342</v>
      </c>
      <c r="D50" s="97" t="s">
        <v>343</v>
      </c>
      <c r="E50" s="98" t="s">
        <v>344</v>
      </c>
      <c r="F50" s="1"/>
      <c r="G50" s="1"/>
      <c r="H50" s="1"/>
      <c r="I50" s="1"/>
      <c r="J50" s="1"/>
    </row>
    <row r="51" customFormat="false" ht="31.5" hidden="false" customHeight="true" outlineLevel="0" collapsed="false">
      <c r="A51" s="1"/>
      <c r="B51" s="99" t="s">
        <v>18</v>
      </c>
      <c r="C51" s="99" t="s">
        <v>345</v>
      </c>
      <c r="D51" s="100" t="s">
        <v>346</v>
      </c>
      <c r="E51" s="100" t="s">
        <v>347</v>
      </c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31.5" hidden="false" customHeight="true" outlineLevel="0" collapsed="false">
      <c r="A54" s="1"/>
      <c r="B54" s="101" t="s">
        <v>348</v>
      </c>
      <c r="C54" s="101"/>
      <c r="D54" s="101"/>
      <c r="E54" s="10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4">
    <mergeCell ref="B2:E2"/>
    <mergeCell ref="B3:E3"/>
    <mergeCell ref="B5:E5"/>
    <mergeCell ref="B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924"/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3" min="13" style="0" width="16"/>
    <col collapsed="false" customWidth="true" hidden="false" outlineLevel="0" max="15" min="14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7.5" hidden="false" customHeight="true" outlineLevel="0" collapsed="false">
      <c r="A2" s="1"/>
      <c r="B2" s="2" t="s">
        <v>349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8" hidden="false" customHeight="true" outlineLevel="0" collapsed="false">
      <c r="A3" s="1"/>
      <c r="B3" s="3" t="s">
        <v>350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A5" s="1"/>
      <c r="B5" s="23" t="s">
        <v>351</v>
      </c>
      <c r="C5" s="23" t="s">
        <v>352</v>
      </c>
      <c r="D5" s="23" t="s">
        <v>98</v>
      </c>
      <c r="E5" s="23" t="s">
        <v>218</v>
      </c>
      <c r="F5" s="23" t="s">
        <v>353</v>
      </c>
      <c r="G5" s="23" t="s">
        <v>103</v>
      </c>
      <c r="H5" s="23" t="s">
        <v>354</v>
      </c>
      <c r="I5" s="23" t="s">
        <v>355</v>
      </c>
      <c r="J5" s="23" t="s">
        <v>356</v>
      </c>
      <c r="K5" s="23" t="s">
        <v>357</v>
      </c>
      <c r="L5" s="23" t="s">
        <v>358</v>
      </c>
      <c r="M5" s="23" t="s">
        <v>61</v>
      </c>
      <c r="N5" s="23" t="s">
        <v>85</v>
      </c>
      <c r="O5" s="23" t="s">
        <v>359</v>
      </c>
      <c r="P5" s="23" t="s">
        <v>107</v>
      </c>
    </row>
    <row r="6" customFormat="false" ht="19.5" hidden="false" customHeight="true" outlineLevel="0" collapsed="false">
      <c r="A6" s="1"/>
      <c r="B6" s="61" t="s">
        <v>360</v>
      </c>
      <c r="C6" s="49" t="n">
        <v>45662</v>
      </c>
      <c r="D6" s="61" t="s">
        <v>108</v>
      </c>
      <c r="E6" s="61" t="s">
        <v>361</v>
      </c>
      <c r="F6" s="102" t="n">
        <v>4200</v>
      </c>
      <c r="G6" s="103" t="s">
        <v>109</v>
      </c>
      <c r="H6" s="104" t="n">
        <f aca="false">F6*IFERROR(INDEX(Settings_FX!$C$16:$I$27,MATCH(TEXT(C6,"mmm-yy"),Settings_FX!$B$16:$B$27,0),MATCH(G6,Settings_FX!$C$15:$I$15,0)),1)</f>
        <v>1143.66</v>
      </c>
      <c r="I6" s="102" t="n">
        <v>130.2</v>
      </c>
      <c r="J6" s="104" t="n">
        <f aca="false">F6-I6</f>
        <v>4069.8</v>
      </c>
      <c r="K6" s="102" t="n">
        <v>4069.8</v>
      </c>
      <c r="L6" s="104" t="n">
        <f aca="false">J6-K6</f>
        <v>0</v>
      </c>
      <c r="M6" s="105" t="str">
        <f aca="false">TEXT(C6,"mmm-yy")</f>
        <v>Jan-25</v>
      </c>
      <c r="N6" s="47" t="s">
        <v>87</v>
      </c>
      <c r="O6" s="47" t="s">
        <v>362</v>
      </c>
      <c r="P6" s="106" t="s">
        <v>142</v>
      </c>
    </row>
    <row r="7" customFormat="false" ht="19.5" hidden="false" customHeight="true" outlineLevel="0" collapsed="false">
      <c r="A7" s="1"/>
      <c r="B7" s="63" t="s">
        <v>363</v>
      </c>
      <c r="C7" s="54" t="n">
        <v>45665</v>
      </c>
      <c r="D7" s="63" t="s">
        <v>110</v>
      </c>
      <c r="E7" s="63" t="s">
        <v>364</v>
      </c>
      <c r="F7" s="107" t="n">
        <v>1500</v>
      </c>
      <c r="G7" s="108" t="s">
        <v>109</v>
      </c>
      <c r="H7" s="109" t="n">
        <f aca="false">F7*IFERROR(INDEX(Settings_FX!$C$16:$I$27,MATCH(TEXT(C7,"mmm-yy"),Settings_FX!$B$16:$B$27,0),MATCH(G7,Settings_FX!$C$15:$I$15,0)),1)</f>
        <v>408.45</v>
      </c>
      <c r="I7" s="107" t="n">
        <v>46.5</v>
      </c>
      <c r="J7" s="109" t="n">
        <f aca="false">F7-I7</f>
        <v>1453.5</v>
      </c>
      <c r="K7" s="107" t="n">
        <v>1453.5</v>
      </c>
      <c r="L7" s="109" t="n">
        <f aca="false">J7-K7</f>
        <v>0</v>
      </c>
      <c r="M7" s="110" t="str">
        <f aca="false">TEXT(C7,"mmm-yy")</f>
        <v>Jan-25</v>
      </c>
      <c r="N7" s="52" t="s">
        <v>88</v>
      </c>
      <c r="O7" s="52" t="s">
        <v>362</v>
      </c>
      <c r="P7" s="111" t="s">
        <v>142</v>
      </c>
    </row>
    <row r="8" customFormat="false" ht="19.5" hidden="false" customHeight="true" outlineLevel="0" collapsed="false">
      <c r="A8" s="1"/>
      <c r="B8" s="61" t="s">
        <v>365</v>
      </c>
      <c r="C8" s="49" t="n">
        <v>45669</v>
      </c>
      <c r="D8" s="61" t="s">
        <v>111</v>
      </c>
      <c r="E8" s="61" t="s">
        <v>366</v>
      </c>
      <c r="F8" s="102" t="n">
        <v>6800</v>
      </c>
      <c r="G8" s="103" t="s">
        <v>112</v>
      </c>
      <c r="H8" s="104" t="n">
        <f aca="false">F8*IFERROR(INDEX(Settings_FX!$C$16:$I$27,MATCH(TEXT(C8,"mmm-yy"),Settings_FX!$B$16:$B$27,0),MATCH(G8,Settings_FX!$C$15:$I$15,0)),1)</f>
        <v>6800</v>
      </c>
      <c r="I8" s="102" t="n">
        <v>197.8</v>
      </c>
      <c r="J8" s="104" t="n">
        <f aca="false">F8-I8</f>
        <v>6602.2</v>
      </c>
      <c r="K8" s="102" t="n">
        <v>6602.2</v>
      </c>
      <c r="L8" s="104" t="n">
        <f aca="false">J8-K8</f>
        <v>0</v>
      </c>
      <c r="M8" s="105" t="str">
        <f aca="false">TEXT(C8,"mmm-yy")</f>
        <v>Jan-25</v>
      </c>
      <c r="N8" s="47" t="s">
        <v>89</v>
      </c>
      <c r="O8" s="47" t="s">
        <v>362</v>
      </c>
      <c r="P8" s="106" t="s">
        <v>142</v>
      </c>
    </row>
    <row r="9" customFormat="false" ht="19.5" hidden="false" customHeight="true" outlineLevel="0" collapsed="false">
      <c r="A9" s="1"/>
      <c r="B9" s="63" t="s">
        <v>367</v>
      </c>
      <c r="C9" s="54" t="n">
        <v>45675</v>
      </c>
      <c r="D9" s="63" t="s">
        <v>120</v>
      </c>
      <c r="E9" s="63" t="s">
        <v>361</v>
      </c>
      <c r="F9" s="107" t="n">
        <v>3200</v>
      </c>
      <c r="G9" s="108" t="s">
        <v>121</v>
      </c>
      <c r="H9" s="109" t="n">
        <f aca="false">F9*IFERROR(INDEX(Settings_FX!$C$16:$I$27,MATCH(TEXT(C9,"mmm-yy"),Settings_FX!$B$16:$B$27,0),MATCH(G9,Settings_FX!$C$15:$I$15,0)),1)</f>
        <v>2377.6</v>
      </c>
      <c r="I9" s="107" t="n">
        <v>96.4</v>
      </c>
      <c r="J9" s="109" t="n">
        <f aca="false">F9-I9</f>
        <v>3103.6</v>
      </c>
      <c r="K9" s="107" t="n">
        <v>3103.6</v>
      </c>
      <c r="L9" s="109" t="n">
        <f aca="false">J9-K9</f>
        <v>0</v>
      </c>
      <c r="M9" s="110" t="str">
        <f aca="false">TEXT(C9,"mmm-yy")</f>
        <v>Jan-25</v>
      </c>
      <c r="N9" s="52" t="s">
        <v>87</v>
      </c>
      <c r="O9" s="52" t="s">
        <v>368</v>
      </c>
      <c r="P9" s="111" t="s">
        <v>142</v>
      </c>
    </row>
    <row r="10" customFormat="false" ht="19.5" hidden="false" customHeight="true" outlineLevel="0" collapsed="false">
      <c r="A10" s="1"/>
      <c r="B10" s="61" t="s">
        <v>369</v>
      </c>
      <c r="C10" s="49" t="n">
        <v>45679</v>
      </c>
      <c r="D10" s="61" t="s">
        <v>123</v>
      </c>
      <c r="E10" s="61" t="s">
        <v>370</v>
      </c>
      <c r="F10" s="102" t="n">
        <v>18000</v>
      </c>
      <c r="G10" s="103" t="s">
        <v>121</v>
      </c>
      <c r="H10" s="104" t="n">
        <f aca="false">F10*IFERROR(INDEX(Settings_FX!$C$16:$I$27,MATCH(TEXT(C10,"mmm-yy"),Settings_FX!$B$16:$B$27,0),MATCH(G10,Settings_FX!$C$15:$I$15,0)),1)</f>
        <v>13374</v>
      </c>
      <c r="I10" s="102" t="n">
        <v>540</v>
      </c>
      <c r="J10" s="104" t="n">
        <f aca="false">F10-I10</f>
        <v>17460</v>
      </c>
      <c r="K10" s="102" t="n">
        <v>17460</v>
      </c>
      <c r="L10" s="104" t="n">
        <f aca="false">J10-K10</f>
        <v>0</v>
      </c>
      <c r="M10" s="105" t="str">
        <f aca="false">TEXT(C10,"mmm-yy")</f>
        <v>Jan-25</v>
      </c>
      <c r="N10" s="47" t="s">
        <v>88</v>
      </c>
      <c r="O10" s="47" t="s">
        <v>368</v>
      </c>
      <c r="P10" s="106" t="s">
        <v>142</v>
      </c>
    </row>
    <row r="11" customFormat="false" ht="19.5" hidden="false" customHeight="true" outlineLevel="0" collapsed="false">
      <c r="A11" s="1"/>
      <c r="B11" s="63" t="s">
        <v>371</v>
      </c>
      <c r="C11" s="54" t="n">
        <v>45685</v>
      </c>
      <c r="D11" s="63" t="s">
        <v>108</v>
      </c>
      <c r="E11" s="63" t="s">
        <v>372</v>
      </c>
      <c r="F11" s="107" t="n">
        <v>2500</v>
      </c>
      <c r="G11" s="108" t="s">
        <v>109</v>
      </c>
      <c r="H11" s="109" t="n">
        <f aca="false">F11*IFERROR(INDEX(Settings_FX!$C$16:$I$27,MATCH(TEXT(C11,"mmm-yy"),Settings_FX!$B$16:$B$27,0),MATCH(G11,Settings_FX!$C$15:$I$15,0)),1)</f>
        <v>680.75</v>
      </c>
      <c r="I11" s="107" t="n">
        <v>77.5</v>
      </c>
      <c r="J11" s="109" t="n">
        <f aca="false">F11-I11</f>
        <v>2422.5</v>
      </c>
      <c r="K11" s="107" t="n">
        <v>2422.5</v>
      </c>
      <c r="L11" s="109" t="n">
        <f aca="false">J11-K11</f>
        <v>0</v>
      </c>
      <c r="M11" s="110" t="str">
        <f aca="false">TEXT(C11,"mmm-yy")</f>
        <v>Jan-25</v>
      </c>
      <c r="N11" s="52" t="s">
        <v>87</v>
      </c>
      <c r="O11" s="52" t="s">
        <v>362</v>
      </c>
      <c r="P11" s="111" t="s">
        <v>142</v>
      </c>
    </row>
    <row r="12" customFormat="false" ht="19.5" hidden="false" customHeight="true" outlineLevel="0" collapsed="false">
      <c r="A12" s="1"/>
      <c r="B12" s="61" t="s">
        <v>373</v>
      </c>
      <c r="C12" s="49" t="n">
        <v>45692</v>
      </c>
      <c r="D12" s="61" t="s">
        <v>108</v>
      </c>
      <c r="E12" s="61" t="s">
        <v>374</v>
      </c>
      <c r="F12" s="102" t="n">
        <v>4500</v>
      </c>
      <c r="G12" s="103" t="s">
        <v>109</v>
      </c>
      <c r="H12" s="104" t="n">
        <f aca="false">F12*IFERROR(INDEX(Settings_FX!$C$16:$I$27,MATCH(TEXT(C12,"mmm-yy"),Settings_FX!$B$16:$B$27,0),MATCH(G12,Settings_FX!$C$15:$I$15,0)),1)</f>
        <v>1225.35</v>
      </c>
      <c r="I12" s="102" t="n">
        <v>139.5</v>
      </c>
      <c r="J12" s="104" t="n">
        <f aca="false">F12-I12</f>
        <v>4360.5</v>
      </c>
      <c r="K12" s="102" t="n">
        <v>4360.5</v>
      </c>
      <c r="L12" s="104" t="n">
        <f aca="false">J12-K12</f>
        <v>0</v>
      </c>
      <c r="M12" s="105" t="str">
        <f aca="false">TEXT(C12,"mmm-yy")</f>
        <v>Feb-25</v>
      </c>
      <c r="N12" s="47" t="s">
        <v>87</v>
      </c>
      <c r="O12" s="47" t="s">
        <v>362</v>
      </c>
      <c r="P12" s="106" t="s">
        <v>142</v>
      </c>
    </row>
    <row r="13" customFormat="false" ht="19.5" hidden="false" customHeight="true" outlineLevel="0" collapsed="false">
      <c r="A13" s="1"/>
      <c r="B13" s="63" t="s">
        <v>375</v>
      </c>
      <c r="C13" s="54" t="n">
        <v>45697</v>
      </c>
      <c r="D13" s="63" t="s">
        <v>110</v>
      </c>
      <c r="E13" s="63" t="s">
        <v>376</v>
      </c>
      <c r="F13" s="107" t="n">
        <v>1500</v>
      </c>
      <c r="G13" s="108" t="s">
        <v>109</v>
      </c>
      <c r="H13" s="109" t="n">
        <f aca="false">F13*IFERROR(INDEX(Settings_FX!$C$16:$I$27,MATCH(TEXT(C13,"mmm-yy"),Settings_FX!$B$16:$B$27,0),MATCH(G13,Settings_FX!$C$15:$I$15,0)),1)</f>
        <v>408.45</v>
      </c>
      <c r="I13" s="107" t="n">
        <v>46.5</v>
      </c>
      <c r="J13" s="109" t="n">
        <f aca="false">F13-I13</f>
        <v>1453.5</v>
      </c>
      <c r="K13" s="107" t="n">
        <v>1453.5</v>
      </c>
      <c r="L13" s="109" t="n">
        <f aca="false">J13-K13</f>
        <v>0</v>
      </c>
      <c r="M13" s="110" t="str">
        <f aca="false">TEXT(C13,"mmm-yy")</f>
        <v>Feb-25</v>
      </c>
      <c r="N13" s="52" t="s">
        <v>88</v>
      </c>
      <c r="O13" s="52" t="s">
        <v>362</v>
      </c>
      <c r="P13" s="111" t="s">
        <v>142</v>
      </c>
    </row>
    <row r="14" customFormat="false" ht="19.5" hidden="false" customHeight="true" outlineLevel="0" collapsed="false">
      <c r="A14" s="1"/>
      <c r="B14" s="61" t="s">
        <v>377</v>
      </c>
      <c r="C14" s="49" t="n">
        <v>45702</v>
      </c>
      <c r="D14" s="61" t="s">
        <v>111</v>
      </c>
      <c r="E14" s="61" t="s">
        <v>378</v>
      </c>
      <c r="F14" s="102" t="n">
        <v>12000</v>
      </c>
      <c r="G14" s="103" t="s">
        <v>112</v>
      </c>
      <c r="H14" s="104" t="n">
        <f aca="false">F14*IFERROR(INDEX(Settings_FX!$C$16:$I$27,MATCH(TEXT(C14,"mmm-yy"),Settings_FX!$B$16:$B$27,0),MATCH(G14,Settings_FX!$C$15:$I$15,0)),1)</f>
        <v>12000</v>
      </c>
      <c r="I14" s="102" t="n">
        <v>348.3</v>
      </c>
      <c r="J14" s="104" t="n">
        <f aca="false">F14-I14</f>
        <v>11651.7</v>
      </c>
      <c r="K14" s="102" t="n">
        <v>11651.7</v>
      </c>
      <c r="L14" s="104" t="n">
        <f aca="false">J14-K14</f>
        <v>0</v>
      </c>
      <c r="M14" s="105" t="str">
        <f aca="false">TEXT(C14,"mmm-yy")</f>
        <v>Feb-25</v>
      </c>
      <c r="N14" s="47" t="s">
        <v>89</v>
      </c>
      <c r="O14" s="47" t="s">
        <v>362</v>
      </c>
      <c r="P14" s="106" t="s">
        <v>142</v>
      </c>
    </row>
    <row r="15" customFormat="false" ht="19.5" hidden="false" customHeight="true" outlineLevel="0" collapsed="false">
      <c r="A15" s="1"/>
      <c r="B15" s="63" t="s">
        <v>379</v>
      </c>
      <c r="C15" s="54" t="n">
        <v>45708</v>
      </c>
      <c r="D15" s="63" t="s">
        <v>120</v>
      </c>
      <c r="E15" s="63" t="s">
        <v>374</v>
      </c>
      <c r="F15" s="107" t="n">
        <v>3500</v>
      </c>
      <c r="G15" s="108" t="s">
        <v>121</v>
      </c>
      <c r="H15" s="109" t="n">
        <f aca="false">F15*IFERROR(INDEX(Settings_FX!$C$16:$I$27,MATCH(TEXT(C15,"mmm-yy"),Settings_FX!$B$16:$B$27,0),MATCH(G15,Settings_FX!$C$15:$I$15,0)),1)</f>
        <v>2600.5</v>
      </c>
      <c r="I15" s="107" t="n">
        <v>105.5</v>
      </c>
      <c r="J15" s="109" t="n">
        <f aca="false">F15-I15</f>
        <v>3394.5</v>
      </c>
      <c r="K15" s="107" t="n">
        <v>3394.5</v>
      </c>
      <c r="L15" s="109" t="n">
        <f aca="false">J15-K15</f>
        <v>0</v>
      </c>
      <c r="M15" s="110" t="str">
        <f aca="false">TEXT(C15,"mmm-yy")</f>
        <v>Feb-25</v>
      </c>
      <c r="N15" s="52" t="s">
        <v>87</v>
      </c>
      <c r="O15" s="52" t="s">
        <v>368</v>
      </c>
      <c r="P15" s="111" t="s">
        <v>142</v>
      </c>
    </row>
    <row r="16" customFormat="false" ht="19.5" hidden="false" customHeight="true" outlineLevel="0" collapsed="false">
      <c r="A16" s="1"/>
      <c r="B16" s="61" t="s">
        <v>380</v>
      </c>
      <c r="C16" s="49" t="n">
        <v>45719</v>
      </c>
      <c r="D16" s="61" t="s">
        <v>113</v>
      </c>
      <c r="E16" s="61" t="s">
        <v>381</v>
      </c>
      <c r="F16" s="102" t="n">
        <v>5800</v>
      </c>
      <c r="G16" s="103" t="s">
        <v>109</v>
      </c>
      <c r="H16" s="104" t="n">
        <f aca="false">F16*IFERROR(INDEX(Settings_FX!$C$16:$I$27,MATCH(TEXT(C16,"mmm-yy"),Settings_FX!$B$16:$B$27,0),MATCH(G16,Settings_FX!$C$15:$I$15,0)),1)</f>
        <v>1579.34</v>
      </c>
      <c r="I16" s="102" t="n">
        <v>180.1</v>
      </c>
      <c r="J16" s="104" t="n">
        <f aca="false">F16-I16</f>
        <v>5619.9</v>
      </c>
      <c r="K16" s="102" t="n">
        <v>5619.9</v>
      </c>
      <c r="L16" s="104" t="n">
        <f aca="false">J16-K16</f>
        <v>0</v>
      </c>
      <c r="M16" s="105" t="str">
        <f aca="false">TEXT(C16,"mmm-yy")</f>
        <v>Mar-25</v>
      </c>
      <c r="N16" s="47" t="s">
        <v>87</v>
      </c>
      <c r="O16" s="47" t="s">
        <v>362</v>
      </c>
      <c r="P16" s="106" t="s">
        <v>142</v>
      </c>
    </row>
    <row r="17" customFormat="false" ht="19.5" hidden="false" customHeight="true" outlineLevel="0" collapsed="false">
      <c r="A17" s="1"/>
      <c r="B17" s="63" t="s">
        <v>382</v>
      </c>
      <c r="C17" s="54" t="n">
        <v>45723</v>
      </c>
      <c r="D17" s="63" t="s">
        <v>114</v>
      </c>
      <c r="E17" s="63" t="s">
        <v>383</v>
      </c>
      <c r="F17" s="107" t="n">
        <v>1500</v>
      </c>
      <c r="G17" s="108" t="s">
        <v>109</v>
      </c>
      <c r="H17" s="109" t="n">
        <f aca="false">F17*IFERROR(INDEX(Settings_FX!$C$16:$I$27,MATCH(TEXT(C17,"mmm-yy"),Settings_FX!$B$16:$B$27,0),MATCH(G17,Settings_FX!$C$15:$I$15,0)),1)</f>
        <v>408.45</v>
      </c>
      <c r="I17" s="107" t="n">
        <v>46.5</v>
      </c>
      <c r="J17" s="109" t="n">
        <f aca="false">F17-I17</f>
        <v>1453.5</v>
      </c>
      <c r="K17" s="107" t="n">
        <v>1453.5</v>
      </c>
      <c r="L17" s="109" t="n">
        <f aca="false">J17-K17</f>
        <v>0</v>
      </c>
      <c r="M17" s="110" t="str">
        <f aca="false">TEXT(C17,"mmm-yy")</f>
        <v>Mar-25</v>
      </c>
      <c r="N17" s="52" t="s">
        <v>88</v>
      </c>
      <c r="O17" s="52" t="s">
        <v>362</v>
      </c>
      <c r="P17" s="111" t="s">
        <v>142</v>
      </c>
    </row>
    <row r="18" customFormat="false" ht="19.5" hidden="false" customHeight="true" outlineLevel="0" collapsed="false">
      <c r="A18" s="1"/>
      <c r="B18" s="61" t="s">
        <v>384</v>
      </c>
      <c r="C18" s="49" t="n">
        <v>45731</v>
      </c>
      <c r="D18" s="61" t="s">
        <v>115</v>
      </c>
      <c r="E18" s="61" t="s">
        <v>385</v>
      </c>
      <c r="F18" s="102" t="n">
        <v>9500</v>
      </c>
      <c r="G18" s="103" t="s">
        <v>109</v>
      </c>
      <c r="H18" s="104" t="n">
        <f aca="false">F18*IFERROR(INDEX(Settings_FX!$C$16:$I$27,MATCH(TEXT(C18,"mmm-yy"),Settings_FX!$B$16:$B$27,0),MATCH(G18,Settings_FX!$C$15:$I$15,0)),1)</f>
        <v>2586.85</v>
      </c>
      <c r="I18" s="102" t="n">
        <v>294.5</v>
      </c>
      <c r="J18" s="104" t="n">
        <f aca="false">F18-I18</f>
        <v>9205.5</v>
      </c>
      <c r="K18" s="102" t="n">
        <v>9205.5</v>
      </c>
      <c r="L18" s="104" t="n">
        <f aca="false">J18-K18</f>
        <v>0</v>
      </c>
      <c r="M18" s="105" t="str">
        <f aca="false">TEXT(C18,"mmm-yy")</f>
        <v>Mar-25</v>
      </c>
      <c r="N18" s="47" t="s">
        <v>89</v>
      </c>
      <c r="O18" s="47" t="s">
        <v>362</v>
      </c>
      <c r="P18" s="106" t="s">
        <v>142</v>
      </c>
    </row>
    <row r="19" customFormat="false" ht="19.5" hidden="false" customHeight="true" outlineLevel="0" collapsed="false">
      <c r="A19" s="1"/>
      <c r="B19" s="63" t="s">
        <v>386</v>
      </c>
      <c r="C19" s="54" t="n">
        <v>45734</v>
      </c>
      <c r="D19" s="63" t="s">
        <v>122</v>
      </c>
      <c r="E19" s="63" t="s">
        <v>387</v>
      </c>
      <c r="F19" s="107" t="n">
        <v>15500</v>
      </c>
      <c r="G19" s="108" t="s">
        <v>112</v>
      </c>
      <c r="H19" s="109" t="n">
        <f aca="false">F19*IFERROR(INDEX(Settings_FX!$C$16:$I$27,MATCH(TEXT(C19,"mmm-yy"),Settings_FX!$B$16:$B$27,0),MATCH(G19,Settings_FX!$C$15:$I$15,0)),1)</f>
        <v>15500</v>
      </c>
      <c r="I19" s="107" t="n">
        <v>450.1</v>
      </c>
      <c r="J19" s="109" t="n">
        <f aca="false">F19-I19</f>
        <v>15049.9</v>
      </c>
      <c r="K19" s="107" t="n">
        <v>15049.9</v>
      </c>
      <c r="L19" s="109" t="n">
        <f aca="false">J19-K19</f>
        <v>0</v>
      </c>
      <c r="M19" s="110" t="str">
        <f aca="false">TEXT(C19,"mmm-yy")</f>
        <v>Mar-25</v>
      </c>
      <c r="N19" s="52" t="s">
        <v>89</v>
      </c>
      <c r="O19" s="52" t="s">
        <v>368</v>
      </c>
      <c r="P19" s="111" t="s">
        <v>142</v>
      </c>
    </row>
    <row r="20" customFormat="false" ht="19.5" hidden="false" customHeight="true" outlineLevel="0" collapsed="false">
      <c r="A20" s="1"/>
      <c r="B20" s="61" t="s">
        <v>388</v>
      </c>
      <c r="C20" s="49" t="n">
        <v>45741</v>
      </c>
      <c r="D20" s="61" t="s">
        <v>124</v>
      </c>
      <c r="E20" s="61" t="s">
        <v>381</v>
      </c>
      <c r="F20" s="102" t="n">
        <v>4100</v>
      </c>
      <c r="G20" s="103" t="s">
        <v>121</v>
      </c>
      <c r="H20" s="104" t="n">
        <f aca="false">F20*IFERROR(INDEX(Settings_FX!$C$16:$I$27,MATCH(TEXT(C20,"mmm-yy"),Settings_FX!$B$16:$B$27,0),MATCH(G20,Settings_FX!$C$15:$I$15,0)),1)</f>
        <v>3046.3</v>
      </c>
      <c r="I20" s="102" t="n">
        <v>123.6</v>
      </c>
      <c r="J20" s="104" t="n">
        <f aca="false">F20-I20</f>
        <v>3976.4</v>
      </c>
      <c r="K20" s="102" t="n">
        <v>3976.4</v>
      </c>
      <c r="L20" s="104" t="n">
        <f aca="false">J20-K20</f>
        <v>0</v>
      </c>
      <c r="M20" s="105" t="str">
        <f aca="false">TEXT(C20,"mmm-yy")</f>
        <v>Mar-25</v>
      </c>
      <c r="N20" s="47" t="s">
        <v>87</v>
      </c>
      <c r="O20" s="47" t="s">
        <v>368</v>
      </c>
      <c r="P20" s="106" t="s">
        <v>142</v>
      </c>
    </row>
    <row r="21" customFormat="false" ht="19.5" hidden="false" customHeight="true" outlineLevel="0" collapsed="false">
      <c r="A21" s="1"/>
      <c r="B21" s="63" t="s">
        <v>389</v>
      </c>
      <c r="C21" s="54" t="n">
        <v>45752</v>
      </c>
      <c r="D21" s="63" t="s">
        <v>108</v>
      </c>
      <c r="E21" s="63" t="s">
        <v>390</v>
      </c>
      <c r="F21" s="107" t="n">
        <v>4700</v>
      </c>
      <c r="G21" s="108" t="s">
        <v>109</v>
      </c>
      <c r="H21" s="109" t="n">
        <f aca="false">F21*IFERROR(INDEX(Settings_FX!$C$16:$I$27,MATCH(TEXT(C21,"mmm-yy"),Settings_FX!$B$16:$B$27,0),MATCH(G21,Settings_FX!$C$15:$I$15,0)),1)</f>
        <v>1279.81</v>
      </c>
      <c r="I21" s="107" t="n">
        <v>145.5</v>
      </c>
      <c r="J21" s="109" t="n">
        <f aca="false">F21-I21</f>
        <v>4554.5</v>
      </c>
      <c r="K21" s="107" t="n">
        <v>2500</v>
      </c>
      <c r="L21" s="109" t="n">
        <f aca="false">J21-K21</f>
        <v>2054.5</v>
      </c>
      <c r="M21" s="110" t="str">
        <f aca="false">TEXT(C21,"mmm-yy")</f>
        <v>Apr-25</v>
      </c>
      <c r="N21" s="52" t="s">
        <v>87</v>
      </c>
      <c r="O21" s="52" t="s">
        <v>362</v>
      </c>
      <c r="P21" s="112" t="s">
        <v>141</v>
      </c>
    </row>
    <row r="22" customFormat="false" ht="19.5" hidden="false" customHeight="true" outlineLevel="0" collapsed="false">
      <c r="A22" s="1"/>
      <c r="B22" s="61" t="s">
        <v>391</v>
      </c>
      <c r="C22" s="49" t="n">
        <v>45756</v>
      </c>
      <c r="D22" s="61" t="s">
        <v>110</v>
      </c>
      <c r="E22" s="61" t="s">
        <v>392</v>
      </c>
      <c r="F22" s="102" t="n">
        <v>1500</v>
      </c>
      <c r="G22" s="103" t="s">
        <v>109</v>
      </c>
      <c r="H22" s="104" t="n">
        <f aca="false">F22*IFERROR(INDEX(Settings_FX!$C$16:$I$27,MATCH(TEXT(C22,"mmm-yy"),Settings_FX!$B$16:$B$27,0),MATCH(G22,Settings_FX!$C$15:$I$15,0)),1)</f>
        <v>408.45</v>
      </c>
      <c r="I22" s="102" t="n">
        <v>46.5</v>
      </c>
      <c r="J22" s="104" t="n">
        <f aca="false">F22-I22</f>
        <v>1453.5</v>
      </c>
      <c r="K22" s="102" t="n">
        <v>1453.5</v>
      </c>
      <c r="L22" s="104" t="n">
        <f aca="false">J22-K22</f>
        <v>0</v>
      </c>
      <c r="M22" s="105" t="str">
        <f aca="false">TEXT(C22,"mmm-yy")</f>
        <v>Apr-25</v>
      </c>
      <c r="N22" s="47" t="s">
        <v>88</v>
      </c>
      <c r="O22" s="47" t="s">
        <v>362</v>
      </c>
      <c r="P22" s="106" t="s">
        <v>142</v>
      </c>
    </row>
    <row r="23" customFormat="false" ht="19.5" hidden="false" customHeight="true" outlineLevel="0" collapsed="false">
      <c r="A23" s="1"/>
      <c r="B23" s="63" t="s">
        <v>393</v>
      </c>
      <c r="C23" s="54" t="n">
        <v>45761</v>
      </c>
      <c r="D23" s="63" t="s">
        <v>125</v>
      </c>
      <c r="E23" s="63" t="s">
        <v>392</v>
      </c>
      <c r="F23" s="107" t="n">
        <v>2200</v>
      </c>
      <c r="G23" s="108" t="s">
        <v>112</v>
      </c>
      <c r="H23" s="109" t="n">
        <f aca="false">F23*IFERROR(INDEX(Settings_FX!$C$16:$I$27,MATCH(TEXT(C23,"mmm-yy"),Settings_FX!$B$16:$B$27,0),MATCH(G23,Settings_FX!$C$15:$I$15,0)),1)</f>
        <v>2200</v>
      </c>
      <c r="I23" s="107" t="n">
        <v>64.1</v>
      </c>
      <c r="J23" s="109" t="n">
        <f aca="false">F23-I23</f>
        <v>2135.9</v>
      </c>
      <c r="K23" s="107" t="n">
        <v>2135.9</v>
      </c>
      <c r="L23" s="109" t="n">
        <f aca="false">J23-K23</f>
        <v>0</v>
      </c>
      <c r="M23" s="110" t="str">
        <f aca="false">TEXT(C23,"mmm-yy")</f>
        <v>Apr-25</v>
      </c>
      <c r="N23" s="52" t="s">
        <v>88</v>
      </c>
      <c r="O23" s="52" t="s">
        <v>368</v>
      </c>
      <c r="P23" s="111" t="s">
        <v>142</v>
      </c>
    </row>
    <row r="24" customFormat="false" ht="19.5" hidden="false" customHeight="true" outlineLevel="0" collapsed="false">
      <c r="A24" s="1"/>
      <c r="B24" s="61" t="s">
        <v>394</v>
      </c>
      <c r="C24" s="49" t="n">
        <v>45781</v>
      </c>
      <c r="D24" s="61" t="s">
        <v>108</v>
      </c>
      <c r="E24" s="61" t="s">
        <v>395</v>
      </c>
      <c r="F24" s="102" t="n">
        <v>4900</v>
      </c>
      <c r="G24" s="103" t="s">
        <v>109</v>
      </c>
      <c r="H24" s="104" t="n">
        <f aca="false">F24*IFERROR(INDEX(Settings_FX!$C$16:$I$27,MATCH(TEXT(C24,"mmm-yy"),Settings_FX!$B$16:$B$27,0),MATCH(G24,Settings_FX!$C$15:$I$15,0)),1)</f>
        <v>1334.27</v>
      </c>
      <c r="I24" s="102" t="n">
        <v>151.9</v>
      </c>
      <c r="J24" s="104" t="n">
        <f aca="false">F24-I24</f>
        <v>4748.1</v>
      </c>
      <c r="K24" s="102" t="n">
        <v>4748.1</v>
      </c>
      <c r="L24" s="104" t="n">
        <f aca="false">J24-K24</f>
        <v>0</v>
      </c>
      <c r="M24" s="105" t="str">
        <f aca="false">TEXT(C24,"mmm-yy")</f>
        <v>May-25</v>
      </c>
      <c r="N24" s="47" t="s">
        <v>87</v>
      </c>
      <c r="O24" s="47" t="s">
        <v>362</v>
      </c>
      <c r="P24" s="106" t="s">
        <v>142</v>
      </c>
    </row>
    <row r="25" customFormat="false" ht="19.5" hidden="false" customHeight="true" outlineLevel="0" collapsed="false">
      <c r="A25" s="1"/>
      <c r="B25" s="63" t="s">
        <v>396</v>
      </c>
      <c r="C25" s="54" t="n">
        <v>45785</v>
      </c>
      <c r="D25" s="63" t="s">
        <v>111</v>
      </c>
      <c r="E25" s="63" t="s">
        <v>397</v>
      </c>
      <c r="F25" s="107" t="n">
        <v>8500</v>
      </c>
      <c r="G25" s="108" t="s">
        <v>112</v>
      </c>
      <c r="H25" s="109" t="n">
        <f aca="false">F25*IFERROR(INDEX(Settings_FX!$C$16:$I$27,MATCH(TEXT(C25,"mmm-yy"),Settings_FX!$B$16:$B$27,0),MATCH(G25,Settings_FX!$C$15:$I$15,0)),1)</f>
        <v>8500</v>
      </c>
      <c r="I25" s="107" t="n">
        <v>246.9</v>
      </c>
      <c r="J25" s="109" t="n">
        <f aca="false">F25-I25</f>
        <v>8253.1</v>
      </c>
      <c r="K25" s="107" t="n">
        <v>8253.1</v>
      </c>
      <c r="L25" s="109" t="n">
        <f aca="false">J25-K25</f>
        <v>0</v>
      </c>
      <c r="M25" s="110" t="str">
        <f aca="false">TEXT(C25,"mmm-yy")</f>
        <v>May-25</v>
      </c>
      <c r="N25" s="52" t="s">
        <v>89</v>
      </c>
      <c r="O25" s="52" t="s">
        <v>362</v>
      </c>
      <c r="P25" s="111" t="s">
        <v>142</v>
      </c>
    </row>
    <row r="26" customFormat="false" ht="19.5" hidden="false" customHeight="true" outlineLevel="0" collapsed="false">
      <c r="A26" s="1"/>
      <c r="B26" s="61" t="s">
        <v>398</v>
      </c>
      <c r="C26" s="49" t="n">
        <v>45792</v>
      </c>
      <c r="D26" s="61" t="s">
        <v>123</v>
      </c>
      <c r="E26" s="61" t="s">
        <v>399</v>
      </c>
      <c r="F26" s="102" t="n">
        <v>1800</v>
      </c>
      <c r="G26" s="103" t="s">
        <v>121</v>
      </c>
      <c r="H26" s="104" t="n">
        <f aca="false">F26*IFERROR(INDEX(Settings_FX!$C$16:$I$27,MATCH(TEXT(C26,"mmm-yy"),Settings_FX!$B$16:$B$27,0),MATCH(G26,Settings_FX!$C$15:$I$15,0)),1)</f>
        <v>1339.2</v>
      </c>
      <c r="I26" s="102" t="n">
        <v>54.2</v>
      </c>
      <c r="J26" s="104" t="n">
        <f aca="false">F26-I26</f>
        <v>1745.8</v>
      </c>
      <c r="K26" s="102" t="n">
        <v>1745.8</v>
      </c>
      <c r="L26" s="104" t="n">
        <f aca="false">J26-K26</f>
        <v>0</v>
      </c>
      <c r="M26" s="105" t="str">
        <f aca="false">TEXT(C26,"mmm-yy")</f>
        <v>May-25</v>
      </c>
      <c r="N26" s="47" t="s">
        <v>88</v>
      </c>
      <c r="O26" s="47" t="s">
        <v>368</v>
      </c>
      <c r="P26" s="106" t="s">
        <v>142</v>
      </c>
    </row>
    <row r="27" customFormat="false" ht="19.5" hidden="false" customHeight="true" outlineLevel="0" collapsed="false">
      <c r="A27" s="1"/>
      <c r="B27" s="63" t="s">
        <v>400</v>
      </c>
      <c r="C27" s="54" t="n">
        <v>45811</v>
      </c>
      <c r="D27" s="63" t="s">
        <v>113</v>
      </c>
      <c r="E27" s="63" t="s">
        <v>401</v>
      </c>
      <c r="F27" s="107" t="n">
        <v>6100</v>
      </c>
      <c r="G27" s="108" t="s">
        <v>109</v>
      </c>
      <c r="H27" s="109" t="n">
        <f aca="false">F27*IFERROR(INDEX(Settings_FX!$C$16:$I$27,MATCH(TEXT(C27,"mmm-yy"),Settings_FX!$B$16:$B$27,0),MATCH(G27,Settings_FX!$C$15:$I$15,0)),1)</f>
        <v>1661.03</v>
      </c>
      <c r="I27" s="107" t="n">
        <v>189.1</v>
      </c>
      <c r="J27" s="109" t="n">
        <f aca="false">F27-I27</f>
        <v>5910.9</v>
      </c>
      <c r="K27" s="107" t="n">
        <v>5910.9</v>
      </c>
      <c r="L27" s="109" t="n">
        <f aca="false">J27-K27</f>
        <v>0</v>
      </c>
      <c r="M27" s="110" t="str">
        <f aca="false">TEXT(C27,"mmm-yy")</f>
        <v>Jun-25</v>
      </c>
      <c r="N27" s="52" t="s">
        <v>87</v>
      </c>
      <c r="O27" s="52" t="s">
        <v>362</v>
      </c>
      <c r="P27" s="111" t="s">
        <v>142</v>
      </c>
    </row>
    <row r="28" customFormat="false" ht="19.5" hidden="false" customHeight="true" outlineLevel="0" collapsed="false">
      <c r="A28" s="1"/>
      <c r="B28" s="61" t="s">
        <v>402</v>
      </c>
      <c r="C28" s="49" t="n">
        <v>45818</v>
      </c>
      <c r="D28" s="61" t="s">
        <v>116</v>
      </c>
      <c r="E28" s="61" t="s">
        <v>370</v>
      </c>
      <c r="F28" s="102" t="n">
        <v>24000</v>
      </c>
      <c r="G28" s="103" t="s">
        <v>112</v>
      </c>
      <c r="H28" s="104" t="n">
        <f aca="false">F28*IFERROR(INDEX(Settings_FX!$C$16:$I$27,MATCH(TEXT(C28,"mmm-yy"),Settings_FX!$B$16:$B$27,0),MATCH(G28,Settings_FX!$C$15:$I$15,0)),1)</f>
        <v>24000</v>
      </c>
      <c r="I28" s="102" t="n">
        <v>696.3</v>
      </c>
      <c r="J28" s="104" t="n">
        <f aca="false">F28-I28</f>
        <v>23303.7</v>
      </c>
      <c r="K28" s="102" t="n">
        <v>23303.7</v>
      </c>
      <c r="L28" s="104" t="n">
        <f aca="false">J28-K28</f>
        <v>0</v>
      </c>
      <c r="M28" s="105" t="str">
        <f aca="false">TEXT(C28,"mmm-yy")</f>
        <v>Jun-25</v>
      </c>
      <c r="N28" s="47" t="s">
        <v>88</v>
      </c>
      <c r="O28" s="47" t="s">
        <v>362</v>
      </c>
      <c r="P28" s="106" t="s">
        <v>142</v>
      </c>
    </row>
    <row r="29" customFormat="false" ht="19.5" hidden="false" customHeight="true" outlineLevel="0" collapsed="false">
      <c r="A29" s="1"/>
      <c r="B29" s="63" t="s">
        <v>403</v>
      </c>
      <c r="C29" s="54" t="n">
        <v>45826</v>
      </c>
      <c r="D29" s="63" t="s">
        <v>117</v>
      </c>
      <c r="E29" s="63" t="s">
        <v>401</v>
      </c>
      <c r="F29" s="107" t="n">
        <v>5400</v>
      </c>
      <c r="G29" s="108" t="s">
        <v>112</v>
      </c>
      <c r="H29" s="109" t="n">
        <f aca="false">F29*IFERROR(INDEX(Settings_FX!$C$16:$I$27,MATCH(TEXT(C29,"mmm-yy"),Settings_FX!$B$16:$B$27,0),MATCH(G29,Settings_FX!$C$15:$I$15,0)),1)</f>
        <v>5400</v>
      </c>
      <c r="I29" s="107" t="n">
        <v>156.8</v>
      </c>
      <c r="J29" s="109" t="n">
        <f aca="false">F29-I29</f>
        <v>5243.2</v>
      </c>
      <c r="K29" s="107" t="n">
        <v>5243.2</v>
      </c>
      <c r="L29" s="109" t="n">
        <f aca="false">J29-K29</f>
        <v>0</v>
      </c>
      <c r="M29" s="110" t="str">
        <f aca="false">TEXT(C29,"mmm-yy")</f>
        <v>Jun-25</v>
      </c>
      <c r="N29" s="52" t="s">
        <v>87</v>
      </c>
      <c r="O29" s="52" t="s">
        <v>362</v>
      </c>
      <c r="P29" s="111" t="s">
        <v>142</v>
      </c>
    </row>
    <row r="30" customFormat="false" ht="19.5" hidden="false" customHeight="true" outlineLevel="0" collapsed="false">
      <c r="A30" s="1"/>
      <c r="B30" s="61" t="s">
        <v>404</v>
      </c>
      <c r="C30" s="49" t="n">
        <v>45843</v>
      </c>
      <c r="D30" s="61" t="s">
        <v>126</v>
      </c>
      <c r="E30" s="61" t="s">
        <v>405</v>
      </c>
      <c r="F30" s="102" t="n">
        <v>13500</v>
      </c>
      <c r="G30" s="103" t="s">
        <v>121</v>
      </c>
      <c r="H30" s="104" t="n">
        <f aca="false">F30*IFERROR(INDEX(Settings_FX!$C$16:$I$27,MATCH(TEXT(C30,"mmm-yy"),Settings_FX!$B$16:$B$27,0),MATCH(G30,Settings_FX!$C$15:$I$15,0)),1)</f>
        <v>10050.75</v>
      </c>
      <c r="I30" s="102" t="n">
        <v>407.1</v>
      </c>
      <c r="J30" s="104" t="n">
        <f aca="false">F30-I30</f>
        <v>13092.9</v>
      </c>
      <c r="K30" s="102" t="n">
        <v>8000</v>
      </c>
      <c r="L30" s="104" t="n">
        <f aca="false">J30-K30</f>
        <v>5092.9</v>
      </c>
      <c r="M30" s="105" t="str">
        <f aca="false">TEXT(C30,"mmm-yy")</f>
        <v>Jul-25</v>
      </c>
      <c r="N30" s="47" t="s">
        <v>89</v>
      </c>
      <c r="O30" s="47" t="s">
        <v>368</v>
      </c>
      <c r="P30" s="113" t="s">
        <v>141</v>
      </c>
    </row>
    <row r="31" customFormat="false" ht="19.5" hidden="false" customHeight="true" outlineLevel="0" collapsed="false">
      <c r="A31" s="1"/>
      <c r="B31" s="63" t="s">
        <v>406</v>
      </c>
      <c r="C31" s="54" t="n">
        <v>45850</v>
      </c>
      <c r="D31" s="63" t="s">
        <v>108</v>
      </c>
      <c r="E31" s="63" t="s">
        <v>407</v>
      </c>
      <c r="F31" s="107" t="n">
        <v>5200</v>
      </c>
      <c r="G31" s="108" t="s">
        <v>109</v>
      </c>
      <c r="H31" s="109" t="n">
        <f aca="false">F31*IFERROR(INDEX(Settings_FX!$C$16:$I$27,MATCH(TEXT(C31,"mmm-yy"),Settings_FX!$B$16:$B$27,0),MATCH(G31,Settings_FX!$C$15:$I$15,0)),1)</f>
        <v>1415.96</v>
      </c>
      <c r="I31" s="107" t="n">
        <v>161.2</v>
      </c>
      <c r="J31" s="109" t="n">
        <f aca="false">F31-I31</f>
        <v>5038.8</v>
      </c>
      <c r="K31" s="107" t="n">
        <v>5038.8</v>
      </c>
      <c r="L31" s="109" t="n">
        <f aca="false">J31-K31</f>
        <v>0</v>
      </c>
      <c r="M31" s="110" t="str">
        <f aca="false">TEXT(C31,"mmm-yy")</f>
        <v>Jul-25</v>
      </c>
      <c r="N31" s="52" t="s">
        <v>87</v>
      </c>
      <c r="O31" s="52" t="s">
        <v>362</v>
      </c>
      <c r="P31" s="111" t="s">
        <v>142</v>
      </c>
    </row>
    <row r="32" customFormat="false" ht="19.5" hidden="false" customHeight="true" outlineLevel="0" collapsed="false">
      <c r="A32" s="1"/>
      <c r="B32" s="61" t="s">
        <v>408</v>
      </c>
      <c r="C32" s="49" t="n">
        <v>45878</v>
      </c>
      <c r="D32" s="61" t="s">
        <v>120</v>
      </c>
      <c r="E32" s="61" t="s">
        <v>409</v>
      </c>
      <c r="F32" s="102" t="n">
        <v>3800</v>
      </c>
      <c r="G32" s="103" t="s">
        <v>121</v>
      </c>
      <c r="H32" s="104" t="n">
        <f aca="false">F32*IFERROR(INDEX(Settings_FX!$C$16:$I$27,MATCH(TEXT(C32,"mmm-yy"),Settings_FX!$B$16:$B$27,0),MATCH(G32,Settings_FX!$C$15:$I$15,0)),1)</f>
        <v>2831</v>
      </c>
      <c r="I32" s="102" t="n">
        <v>114.5</v>
      </c>
      <c r="J32" s="104" t="n">
        <f aca="false">F32-I32</f>
        <v>3685.5</v>
      </c>
      <c r="K32" s="102" t="n">
        <v>3685.5</v>
      </c>
      <c r="L32" s="104" t="n">
        <f aca="false">J32-K32</f>
        <v>0</v>
      </c>
      <c r="M32" s="105" t="str">
        <f aca="false">TEXT(C32,"mmm-yy")</f>
        <v>Aug-25</v>
      </c>
      <c r="N32" s="47" t="s">
        <v>87</v>
      </c>
      <c r="O32" s="47" t="s">
        <v>368</v>
      </c>
      <c r="P32" s="106" t="s">
        <v>142</v>
      </c>
    </row>
    <row r="33" customFormat="false" ht="19.5" hidden="false" customHeight="true" outlineLevel="0" collapsed="false">
      <c r="A33" s="1"/>
      <c r="B33" s="63" t="s">
        <v>410</v>
      </c>
      <c r="C33" s="54" t="n">
        <v>45914</v>
      </c>
      <c r="D33" s="63" t="s">
        <v>127</v>
      </c>
      <c r="E33" s="63" t="s">
        <v>411</v>
      </c>
      <c r="F33" s="107" t="n">
        <v>11200</v>
      </c>
      <c r="G33" s="108" t="s">
        <v>112</v>
      </c>
      <c r="H33" s="109" t="n">
        <f aca="false">F33*IFERROR(INDEX(Settings_FX!$C$16:$I$27,MATCH(TEXT(C33,"mmm-yy"),Settings_FX!$B$16:$B$27,0),MATCH(G33,Settings_FX!$C$15:$I$15,0)),1)</f>
        <v>11200</v>
      </c>
      <c r="I33" s="107" t="n">
        <v>325.2</v>
      </c>
      <c r="J33" s="109" t="n">
        <f aca="false">F33-I33</f>
        <v>10874.8</v>
      </c>
      <c r="K33" s="107" t="n">
        <v>10874.8</v>
      </c>
      <c r="L33" s="109" t="n">
        <f aca="false">J33-K33</f>
        <v>0</v>
      </c>
      <c r="M33" s="110" t="str">
        <f aca="false">TEXT(C33,"mmm-yy")</f>
        <v>Sep-25</v>
      </c>
      <c r="N33" s="52" t="s">
        <v>89</v>
      </c>
      <c r="O33" s="52" t="s">
        <v>368</v>
      </c>
      <c r="P33" s="111" t="s">
        <v>142</v>
      </c>
    </row>
    <row r="34" customFormat="false" ht="19.5" hidden="false" customHeight="true" outlineLevel="0" collapsed="false">
      <c r="A34" s="1"/>
      <c r="B34" s="61" t="s">
        <v>412</v>
      </c>
      <c r="C34" s="49" t="n">
        <v>45677</v>
      </c>
      <c r="D34" s="61" t="s">
        <v>110</v>
      </c>
      <c r="E34" s="61" t="s">
        <v>413</v>
      </c>
      <c r="F34" s="102" t="n">
        <v>3500</v>
      </c>
      <c r="G34" s="103" t="s">
        <v>109</v>
      </c>
      <c r="H34" s="104" t="n">
        <f aca="false">F34*IFERROR(INDEX(Settings_FX!$C$16:$I$27,MATCH(TEXT(C34,"mmm-yy"),Settings_FX!$B$16:$B$27,0),MATCH(G34,Settings_FX!$C$15:$I$15,0)),1)</f>
        <v>953.05</v>
      </c>
      <c r="I34" s="102" t="n">
        <v>108.5</v>
      </c>
      <c r="J34" s="104" t="n">
        <f aca="false">F34-I34</f>
        <v>3391.5</v>
      </c>
      <c r="K34" s="102" t="n">
        <v>3391.5</v>
      </c>
      <c r="L34" s="104" t="n">
        <f aca="false">J34-K34</f>
        <v>0</v>
      </c>
      <c r="M34" s="105" t="str">
        <f aca="false">TEXT(C34,"mmm-yy")</f>
        <v>Jan-25</v>
      </c>
      <c r="N34" s="47" t="s">
        <v>90</v>
      </c>
      <c r="O34" s="47" t="s">
        <v>362</v>
      </c>
      <c r="P34" s="106" t="s">
        <v>142</v>
      </c>
    </row>
    <row r="35" customFormat="false" ht="19.5" hidden="false" customHeight="true" outlineLevel="0" collapsed="false">
      <c r="A35" s="1"/>
      <c r="B35" s="63" t="s">
        <v>414</v>
      </c>
      <c r="C35" s="54" t="n">
        <v>45706</v>
      </c>
      <c r="D35" s="63" t="s">
        <v>120</v>
      </c>
      <c r="E35" s="63" t="s">
        <v>415</v>
      </c>
      <c r="F35" s="107" t="n">
        <v>6800</v>
      </c>
      <c r="G35" s="108" t="s">
        <v>112</v>
      </c>
      <c r="H35" s="109" t="n">
        <f aca="false">F35*IFERROR(INDEX(Settings_FX!$C$16:$I$27,MATCH(TEXT(C35,"mmm-yy"),Settings_FX!$B$16:$B$27,0),MATCH(G35,Settings_FX!$C$15:$I$15,0)),1)</f>
        <v>6800</v>
      </c>
      <c r="I35" s="107" t="n">
        <v>197.2</v>
      </c>
      <c r="J35" s="109" t="n">
        <f aca="false">F35-I35</f>
        <v>6602.8</v>
      </c>
      <c r="K35" s="107" t="n">
        <v>6602.8</v>
      </c>
      <c r="L35" s="109" t="n">
        <f aca="false">J35-K35</f>
        <v>0</v>
      </c>
      <c r="M35" s="110" t="str">
        <f aca="false">TEXT(C35,"mmm-yy")</f>
        <v>Feb-25</v>
      </c>
      <c r="N35" s="52" t="s">
        <v>90</v>
      </c>
      <c r="O35" s="52" t="s">
        <v>368</v>
      </c>
      <c r="P35" s="111" t="s">
        <v>142</v>
      </c>
    </row>
    <row r="36" customFormat="false" ht="19.5" hidden="false" customHeight="true" outlineLevel="0" collapsed="false">
      <c r="A36" s="1"/>
      <c r="B36" s="61" t="s">
        <v>416</v>
      </c>
      <c r="C36" s="49" t="n">
        <v>45738</v>
      </c>
      <c r="D36" s="61" t="s">
        <v>123</v>
      </c>
      <c r="E36" s="61" t="s">
        <v>417</v>
      </c>
      <c r="F36" s="102" t="n">
        <v>4500</v>
      </c>
      <c r="G36" s="103" t="s">
        <v>121</v>
      </c>
      <c r="H36" s="104" t="n">
        <f aca="false">F36*IFERROR(INDEX(Settings_FX!$C$16:$I$27,MATCH(TEXT(C36,"mmm-yy"),Settings_FX!$B$16:$B$27,0),MATCH(G36,Settings_FX!$C$15:$I$15,0)),1)</f>
        <v>3343.5</v>
      </c>
      <c r="I36" s="102" t="n">
        <v>135.5</v>
      </c>
      <c r="J36" s="104" t="n">
        <f aca="false">F36-I36</f>
        <v>4364.5</v>
      </c>
      <c r="K36" s="102" t="n">
        <v>4364.5</v>
      </c>
      <c r="L36" s="104" t="n">
        <f aca="false">J36-K36</f>
        <v>0</v>
      </c>
      <c r="M36" s="105" t="str">
        <f aca="false">TEXT(C36,"mmm-yy")</f>
        <v>Mar-25</v>
      </c>
      <c r="N36" s="47" t="s">
        <v>90</v>
      </c>
      <c r="O36" s="47" t="s">
        <v>368</v>
      </c>
      <c r="P36" s="106" t="s">
        <v>142</v>
      </c>
    </row>
    <row r="37" customFormat="false" ht="19.5" hidden="false" customHeight="true" outlineLevel="0" collapsed="false">
      <c r="A37" s="1"/>
      <c r="B37" s="63" t="s">
        <v>418</v>
      </c>
      <c r="C37" s="54" t="n">
        <v>45759</v>
      </c>
      <c r="D37" s="63" t="s">
        <v>111</v>
      </c>
      <c r="E37" s="63" t="s">
        <v>419</v>
      </c>
      <c r="F37" s="107" t="n">
        <v>9200</v>
      </c>
      <c r="G37" s="108" t="s">
        <v>112</v>
      </c>
      <c r="H37" s="109" t="n">
        <f aca="false">F37*IFERROR(INDEX(Settings_FX!$C$16:$I$27,MATCH(TEXT(C37,"mmm-yy"),Settings_FX!$B$16:$B$27,0),MATCH(G37,Settings_FX!$C$15:$I$15,0)),1)</f>
        <v>9200</v>
      </c>
      <c r="I37" s="107" t="n">
        <v>267.4</v>
      </c>
      <c r="J37" s="109" t="n">
        <f aca="false">F37-I37</f>
        <v>8932.6</v>
      </c>
      <c r="K37" s="107" t="n">
        <v>8932.6</v>
      </c>
      <c r="L37" s="109" t="n">
        <f aca="false">J37-K37</f>
        <v>0</v>
      </c>
      <c r="M37" s="110" t="str">
        <f aca="false">TEXT(C37,"mmm-yy")</f>
        <v>Apr-25</v>
      </c>
      <c r="N37" s="52" t="s">
        <v>90</v>
      </c>
      <c r="O37" s="52" t="s">
        <v>362</v>
      </c>
      <c r="P37" s="111" t="s">
        <v>142</v>
      </c>
    </row>
    <row r="38" customFormat="false" ht="19.5" hidden="false" customHeight="true" outlineLevel="0" collapsed="false">
      <c r="A38" s="1"/>
      <c r="B38" s="61" t="s">
        <v>420</v>
      </c>
      <c r="C38" s="49" t="n">
        <v>45787</v>
      </c>
      <c r="D38" s="61" t="s">
        <v>113</v>
      </c>
      <c r="E38" s="61" t="s">
        <v>421</v>
      </c>
      <c r="F38" s="102" t="n">
        <v>5200</v>
      </c>
      <c r="G38" s="103" t="s">
        <v>109</v>
      </c>
      <c r="H38" s="104" t="n">
        <f aca="false">F38*IFERROR(INDEX(Settings_FX!$C$16:$I$27,MATCH(TEXT(C38,"mmm-yy"),Settings_FX!$B$16:$B$27,0),MATCH(G38,Settings_FX!$C$15:$I$15,0)),1)</f>
        <v>1415.96</v>
      </c>
      <c r="I38" s="102" t="n">
        <v>161.2</v>
      </c>
      <c r="J38" s="104" t="n">
        <f aca="false">F38-I38</f>
        <v>5038.8</v>
      </c>
      <c r="K38" s="102" t="n">
        <v>5038.8</v>
      </c>
      <c r="L38" s="104" t="n">
        <f aca="false">J38-K38</f>
        <v>0</v>
      </c>
      <c r="M38" s="105" t="str">
        <f aca="false">TEXT(C38,"mmm-yy")</f>
        <v>May-25</v>
      </c>
      <c r="N38" s="47" t="s">
        <v>90</v>
      </c>
      <c r="O38" s="47" t="s">
        <v>362</v>
      </c>
      <c r="P38" s="106" t="s">
        <v>142</v>
      </c>
    </row>
    <row r="39" customFormat="false" ht="19.5" hidden="false" customHeight="true" outlineLevel="0" collapsed="false">
      <c r="A39" s="1"/>
      <c r="B39" s="63" t="s">
        <v>422</v>
      </c>
      <c r="C39" s="54" t="n">
        <v>45823</v>
      </c>
      <c r="D39" s="63" t="s">
        <v>124</v>
      </c>
      <c r="E39" s="63" t="s">
        <v>423</v>
      </c>
      <c r="F39" s="107" t="n">
        <v>3800</v>
      </c>
      <c r="G39" s="108" t="s">
        <v>121</v>
      </c>
      <c r="H39" s="109" t="n">
        <f aca="false">F39*IFERROR(INDEX(Settings_FX!$C$16:$I$27,MATCH(TEXT(C39,"mmm-yy"),Settings_FX!$B$16:$B$27,0),MATCH(G39,Settings_FX!$C$15:$I$15,0)),1)</f>
        <v>2827.2</v>
      </c>
      <c r="I39" s="107" t="n">
        <v>114.5</v>
      </c>
      <c r="J39" s="109" t="n">
        <f aca="false">F39-I39</f>
        <v>3685.5</v>
      </c>
      <c r="K39" s="107" t="n">
        <v>3685.5</v>
      </c>
      <c r="L39" s="109" t="n">
        <f aca="false">J39-K39</f>
        <v>0</v>
      </c>
      <c r="M39" s="110" t="str">
        <f aca="false">TEXT(C39,"mmm-yy")</f>
        <v>Jun-25</v>
      </c>
      <c r="N39" s="52" t="s">
        <v>90</v>
      </c>
      <c r="O39" s="52" t="s">
        <v>368</v>
      </c>
      <c r="P39" s="111" t="s">
        <v>142</v>
      </c>
    </row>
    <row r="40" customFormat="false" ht="19.5" hidden="false" customHeight="true" outlineLevel="0" collapsed="false">
      <c r="A40" s="1"/>
      <c r="B40" s="61" t="s">
        <v>424</v>
      </c>
      <c r="C40" s="49" t="n">
        <v>45858</v>
      </c>
      <c r="D40" s="61" t="s">
        <v>114</v>
      </c>
      <c r="E40" s="61" t="s">
        <v>425</v>
      </c>
      <c r="F40" s="102" t="n">
        <v>4800</v>
      </c>
      <c r="G40" s="103" t="s">
        <v>109</v>
      </c>
      <c r="H40" s="104" t="n">
        <f aca="false">F40*IFERROR(INDEX(Settings_FX!$C$16:$I$27,MATCH(TEXT(C40,"mmm-yy"),Settings_FX!$B$16:$B$27,0),MATCH(G40,Settings_FX!$C$15:$I$15,0)),1)</f>
        <v>1307.04</v>
      </c>
      <c r="I40" s="102" t="n">
        <v>148.8</v>
      </c>
      <c r="J40" s="104" t="n">
        <f aca="false">F40-I40</f>
        <v>4651.2</v>
      </c>
      <c r="K40" s="102" t="n">
        <v>4651.2</v>
      </c>
      <c r="L40" s="104" t="n">
        <f aca="false">J40-K40</f>
        <v>0</v>
      </c>
      <c r="M40" s="105" t="str">
        <f aca="false">TEXT(C40,"mmm-yy")</f>
        <v>Jul-25</v>
      </c>
      <c r="N40" s="47" t="s">
        <v>90</v>
      </c>
      <c r="O40" s="47" t="s">
        <v>362</v>
      </c>
      <c r="P40" s="106" t="s">
        <v>142</v>
      </c>
    </row>
    <row r="41" customFormat="false" ht="19.5" hidden="false" customHeight="true" outlineLevel="0" collapsed="false">
      <c r="A41" s="1"/>
      <c r="B41" s="63" t="s">
        <v>426</v>
      </c>
      <c r="C41" s="54" t="n">
        <v>45874</v>
      </c>
      <c r="D41" s="63" t="s">
        <v>122</v>
      </c>
      <c r="E41" s="63" t="s">
        <v>427</v>
      </c>
      <c r="F41" s="107" t="n">
        <v>7500</v>
      </c>
      <c r="G41" s="108" t="s">
        <v>112</v>
      </c>
      <c r="H41" s="109" t="n">
        <f aca="false">F41*IFERROR(INDEX(Settings_FX!$C$16:$I$27,MATCH(TEXT(C41,"mmm-yy"),Settings_FX!$B$16:$B$27,0),MATCH(G41,Settings_FX!$C$15:$I$15,0)),1)</f>
        <v>7500</v>
      </c>
      <c r="I41" s="107" t="n">
        <v>218.1</v>
      </c>
      <c r="J41" s="109" t="n">
        <f aca="false">F41-I41</f>
        <v>7281.9</v>
      </c>
      <c r="K41" s="107" t="n">
        <v>7281.9</v>
      </c>
      <c r="L41" s="109" t="n">
        <f aca="false">J41-K41</f>
        <v>0</v>
      </c>
      <c r="M41" s="110" t="str">
        <f aca="false">TEXT(C41,"mmm-yy")</f>
        <v>Aug-25</v>
      </c>
      <c r="N41" s="52" t="s">
        <v>90</v>
      </c>
      <c r="O41" s="52" t="s">
        <v>368</v>
      </c>
      <c r="P41" s="111" t="s">
        <v>142</v>
      </c>
    </row>
    <row r="42" customFormat="false" ht="19.5" hidden="false" customHeight="true" outlineLevel="0" collapsed="false">
      <c r="A42" s="1"/>
      <c r="B42" s="114" t="s">
        <v>428</v>
      </c>
      <c r="C42" s="115" t="n">
        <v>45905</v>
      </c>
      <c r="D42" s="114" t="s">
        <v>115</v>
      </c>
      <c r="E42" s="114" t="s">
        <v>429</v>
      </c>
      <c r="F42" s="116" t="n">
        <v>6800</v>
      </c>
      <c r="G42" s="117" t="s">
        <v>109</v>
      </c>
      <c r="H42" s="118" t="n">
        <f aca="false">F42*IFERROR(INDEX(Settings_FX!$C$16:$I$27,MATCH(TEXT(C42,"mmm-yy"),Settings_FX!$B$16:$B$27,0),MATCH(G42,Settings_FX!$C$15:$I$15,0)),1)</f>
        <v>1851.64</v>
      </c>
      <c r="I42" s="116" t="n">
        <v>0</v>
      </c>
      <c r="J42" s="118" t="n">
        <f aca="false">F42-I42</f>
        <v>6800</v>
      </c>
      <c r="K42" s="116" t="n">
        <v>0</v>
      </c>
      <c r="L42" s="118" t="n">
        <f aca="false">J42-K42</f>
        <v>6800</v>
      </c>
      <c r="M42" s="119" t="str">
        <f aca="false">TEXT(C42,"mmm-yy")</f>
        <v>Sep-25</v>
      </c>
      <c r="N42" s="120" t="s">
        <v>87</v>
      </c>
      <c r="O42" s="120" t="s">
        <v>362</v>
      </c>
      <c r="P42" s="121" t="s">
        <v>143</v>
      </c>
    </row>
    <row r="43" customFormat="false" ht="19.5" hidden="false" customHeight="true" outlineLevel="0" collapsed="false">
      <c r="A43" s="1"/>
      <c r="B43" s="63" t="s">
        <v>430</v>
      </c>
      <c r="C43" s="54" t="n">
        <v>45938</v>
      </c>
      <c r="D43" s="63" t="s">
        <v>125</v>
      </c>
      <c r="E43" s="63" t="s">
        <v>431</v>
      </c>
      <c r="F43" s="107" t="n">
        <v>24000</v>
      </c>
      <c r="G43" s="108" t="s">
        <v>112</v>
      </c>
      <c r="H43" s="109" t="n">
        <f aca="false">F43*IFERROR(INDEX(Settings_FX!$C$16:$I$27,MATCH(TEXT(C43,"mmm-yy"),Settings_FX!$B$16:$B$27,0),MATCH(G43,Settings_FX!$C$15:$I$15,0)),1)</f>
        <v>24000</v>
      </c>
      <c r="I43" s="107" t="n">
        <v>0</v>
      </c>
      <c r="J43" s="109" t="n">
        <f aca="false">F43-I43</f>
        <v>24000</v>
      </c>
      <c r="K43" s="107" t="n">
        <v>0</v>
      </c>
      <c r="L43" s="109" t="n">
        <f aca="false">J43-K43</f>
        <v>24000</v>
      </c>
      <c r="M43" s="110" t="str">
        <f aca="false">TEXT(C43,"mmm-yy")</f>
        <v>Oct-25</v>
      </c>
      <c r="N43" s="52" t="s">
        <v>88</v>
      </c>
      <c r="O43" s="52" t="s">
        <v>368</v>
      </c>
      <c r="P43" s="66" t="s">
        <v>138</v>
      </c>
    </row>
    <row r="44" customFormat="false" ht="19.5" hidden="false" customHeight="true" outlineLevel="0" collapsed="false">
      <c r="A44" s="1"/>
      <c r="B44" s="61" t="s">
        <v>432</v>
      </c>
      <c r="C44" s="49" t="n">
        <v>45945</v>
      </c>
      <c r="D44" s="61" t="s">
        <v>108</v>
      </c>
      <c r="E44" s="61" t="s">
        <v>433</v>
      </c>
      <c r="F44" s="102" t="n">
        <v>8500</v>
      </c>
      <c r="G44" s="103" t="s">
        <v>109</v>
      </c>
      <c r="H44" s="104" t="n">
        <f aca="false">F44*IFERROR(INDEX(Settings_FX!$C$16:$I$27,MATCH(TEXT(C44,"mmm-yy"),Settings_FX!$B$16:$B$27,0),MATCH(G44,Settings_FX!$C$15:$I$15,0)),1)</f>
        <v>2314.55</v>
      </c>
      <c r="I44" s="102" t="n">
        <v>0</v>
      </c>
      <c r="J44" s="104" t="n">
        <f aca="false">F44-I44</f>
        <v>8500</v>
      </c>
      <c r="K44" s="102" t="n">
        <v>0</v>
      </c>
      <c r="L44" s="104" t="n">
        <f aca="false">J44-K44</f>
        <v>8500</v>
      </c>
      <c r="M44" s="105" t="str">
        <f aca="false">TEXT(C44,"mmm-yy")</f>
        <v>Oct-25</v>
      </c>
      <c r="N44" s="47" t="s">
        <v>89</v>
      </c>
      <c r="O44" s="47" t="s">
        <v>362</v>
      </c>
      <c r="P44" s="68" t="s">
        <v>139</v>
      </c>
    </row>
    <row r="45" customFormat="false" ht="19.5" hidden="false" customHeight="true" outlineLevel="0" collapsed="false">
      <c r="A45" s="1"/>
      <c r="B45" s="63" t="s">
        <v>434</v>
      </c>
      <c r="C45" s="54" t="n">
        <v>45966</v>
      </c>
      <c r="D45" s="63" t="s">
        <v>120</v>
      </c>
      <c r="E45" s="63" t="s">
        <v>435</v>
      </c>
      <c r="F45" s="107" t="n">
        <v>4200</v>
      </c>
      <c r="G45" s="108" t="s">
        <v>121</v>
      </c>
      <c r="H45" s="109" t="n">
        <f aca="false">F45*IFERROR(INDEX(Settings_FX!$C$16:$I$27,MATCH(TEXT(C45,"mmm-yy"),Settings_FX!$B$16:$B$27,0),MATCH(G45,Settings_FX!$C$15:$I$15,0)),1)</f>
        <v>3135.3</v>
      </c>
      <c r="I45" s="107" t="n">
        <v>0</v>
      </c>
      <c r="J45" s="109" t="n">
        <f aca="false">F45-I45</f>
        <v>4200</v>
      </c>
      <c r="K45" s="107" t="n">
        <v>0</v>
      </c>
      <c r="L45" s="109" t="n">
        <f aca="false">J45-K45</f>
        <v>4200</v>
      </c>
      <c r="M45" s="110" t="str">
        <f aca="false">TEXT(C45,"mmm-yy")</f>
        <v>Nov-25</v>
      </c>
      <c r="N45" s="52" t="s">
        <v>87</v>
      </c>
      <c r="O45" s="52" t="s">
        <v>368</v>
      </c>
      <c r="P45" s="66" t="s">
        <v>138</v>
      </c>
    </row>
    <row r="46" customFormat="false" ht="19.5" hidden="false" customHeight="true" outlineLevel="0" collapsed="false">
      <c r="A46" s="1"/>
      <c r="B46" s="61" t="s">
        <v>436</v>
      </c>
      <c r="C46" s="49" t="n">
        <v>45973</v>
      </c>
      <c r="D46" s="61" t="s">
        <v>117</v>
      </c>
      <c r="E46" s="61" t="s">
        <v>437</v>
      </c>
      <c r="F46" s="102" t="n">
        <v>6500</v>
      </c>
      <c r="G46" s="103" t="s">
        <v>112</v>
      </c>
      <c r="H46" s="104" t="n">
        <f aca="false">F46*IFERROR(INDEX(Settings_FX!$C$16:$I$27,MATCH(TEXT(C46,"mmm-yy"),Settings_FX!$B$16:$B$27,0),MATCH(G46,Settings_FX!$C$15:$I$15,0)),1)</f>
        <v>6500</v>
      </c>
      <c r="I46" s="102" t="n">
        <v>0</v>
      </c>
      <c r="J46" s="104" t="n">
        <f aca="false">F46-I46</f>
        <v>6500</v>
      </c>
      <c r="K46" s="102" t="n">
        <v>0</v>
      </c>
      <c r="L46" s="104" t="n">
        <f aca="false">J46-K46</f>
        <v>6500</v>
      </c>
      <c r="M46" s="105" t="str">
        <f aca="false">TEXT(C46,"mmm-yy")</f>
        <v>Nov-25</v>
      </c>
      <c r="N46" s="47" t="s">
        <v>90</v>
      </c>
      <c r="O46" s="47" t="s">
        <v>362</v>
      </c>
      <c r="P46" s="68" t="s">
        <v>139</v>
      </c>
    </row>
    <row r="47" customFormat="false" ht="19.5" hidden="false" customHeight="true" outlineLevel="0" collapsed="false">
      <c r="A47" s="1"/>
      <c r="B47" s="114" t="s">
        <v>438</v>
      </c>
      <c r="C47" s="115" t="n">
        <v>45981</v>
      </c>
      <c r="D47" s="114" t="s">
        <v>123</v>
      </c>
      <c r="E47" s="114" t="s">
        <v>439</v>
      </c>
      <c r="F47" s="116" t="n">
        <v>1800</v>
      </c>
      <c r="G47" s="117" t="s">
        <v>121</v>
      </c>
      <c r="H47" s="118" t="n">
        <f aca="false">F47*IFERROR(INDEX(Settings_FX!$C$16:$I$27,MATCH(TEXT(C47,"mmm-yy"),Settings_FX!$B$16:$B$27,0),MATCH(G47,Settings_FX!$C$15:$I$15,0)),1)</f>
        <v>1343.7</v>
      </c>
      <c r="I47" s="116" t="n">
        <v>0</v>
      </c>
      <c r="J47" s="118" t="n">
        <f aca="false">F47-I47</f>
        <v>1800</v>
      </c>
      <c r="K47" s="116" t="n">
        <v>0</v>
      </c>
      <c r="L47" s="118" t="n">
        <f aca="false">J47-K47</f>
        <v>1800</v>
      </c>
      <c r="M47" s="119" t="str">
        <f aca="false">TEXT(C47,"mmm-yy")</f>
        <v>Nov-25</v>
      </c>
      <c r="N47" s="120" t="s">
        <v>88</v>
      </c>
      <c r="O47" s="120" t="s">
        <v>368</v>
      </c>
      <c r="P47" s="121" t="s">
        <v>143</v>
      </c>
    </row>
    <row r="48" customFormat="false" ht="19.5" hidden="false" customHeight="true" outlineLevel="0" collapsed="false">
      <c r="A48" s="1"/>
      <c r="B48" s="61" t="s">
        <v>440</v>
      </c>
      <c r="C48" s="49" t="n">
        <v>45994</v>
      </c>
      <c r="D48" s="61" t="s">
        <v>111</v>
      </c>
      <c r="E48" s="61" t="s">
        <v>441</v>
      </c>
      <c r="F48" s="102" t="n">
        <v>9500</v>
      </c>
      <c r="G48" s="103" t="s">
        <v>112</v>
      </c>
      <c r="H48" s="104" t="n">
        <f aca="false">F48*IFERROR(INDEX(Settings_FX!$C$16:$I$27,MATCH(TEXT(C48,"mmm-yy"),Settings_FX!$B$16:$B$27,0),MATCH(G48,Settings_FX!$C$15:$I$15,0)),1)</f>
        <v>9500</v>
      </c>
      <c r="I48" s="102" t="n">
        <v>0</v>
      </c>
      <c r="J48" s="104" t="n">
        <f aca="false">F48-I48</f>
        <v>9500</v>
      </c>
      <c r="K48" s="102" t="n">
        <v>0</v>
      </c>
      <c r="L48" s="104" t="n">
        <f aca="false">J48-K48</f>
        <v>9500</v>
      </c>
      <c r="M48" s="105" t="str">
        <f aca="false">TEXT(C48,"mmm-yy")</f>
        <v>Dec-25</v>
      </c>
      <c r="N48" s="47" t="s">
        <v>89</v>
      </c>
      <c r="O48" s="47" t="s">
        <v>362</v>
      </c>
      <c r="P48" s="66" t="s">
        <v>138</v>
      </c>
    </row>
    <row r="49" customFormat="false" ht="19.5" hidden="false" customHeight="true" outlineLevel="0" collapsed="false">
      <c r="A49" s="1"/>
      <c r="B49" s="63" t="s">
        <v>442</v>
      </c>
      <c r="C49" s="54" t="n">
        <v>46001</v>
      </c>
      <c r="D49" s="63" t="s">
        <v>110</v>
      </c>
      <c r="E49" s="63" t="s">
        <v>443</v>
      </c>
      <c r="F49" s="107" t="n">
        <v>4200</v>
      </c>
      <c r="G49" s="108" t="s">
        <v>109</v>
      </c>
      <c r="H49" s="109" t="n">
        <f aca="false">F49*IFERROR(INDEX(Settings_FX!$C$16:$I$27,MATCH(TEXT(C49,"mmm-yy"),Settings_FX!$B$16:$B$27,0),MATCH(G49,Settings_FX!$C$15:$I$15,0)),1)</f>
        <v>1143.66</v>
      </c>
      <c r="I49" s="107" t="n">
        <v>0</v>
      </c>
      <c r="J49" s="109" t="n">
        <f aca="false">F49-I49</f>
        <v>4200</v>
      </c>
      <c r="K49" s="107" t="n">
        <v>0</v>
      </c>
      <c r="L49" s="109" t="n">
        <f aca="false">J49-K49</f>
        <v>4200</v>
      </c>
      <c r="M49" s="110" t="str">
        <f aca="false">TEXT(C49,"mmm-yy")</f>
        <v>Dec-25</v>
      </c>
      <c r="N49" s="52" t="s">
        <v>90</v>
      </c>
      <c r="O49" s="52" t="s">
        <v>362</v>
      </c>
      <c r="P49" s="68" t="s">
        <v>139</v>
      </c>
    </row>
    <row r="50" customFormat="false" ht="24" hidden="false" customHeight="true" outlineLevel="0" collapsed="false">
      <c r="A50" s="1"/>
      <c r="B50" s="40" t="s">
        <v>146</v>
      </c>
      <c r="C50" s="56"/>
      <c r="D50" s="56"/>
      <c r="E50" s="56"/>
      <c r="F50" s="55" t="n">
        <f aca="false">SUM(F6:F49)</f>
        <v>297700</v>
      </c>
      <c r="G50" s="56"/>
      <c r="H50" s="55" t="n">
        <f aca="false">SUM(H6:H49)</f>
        <v>218895.77</v>
      </c>
      <c r="I50" s="55" t="n">
        <f aca="false">SUM(I6:I49)</f>
        <v>6933.5</v>
      </c>
      <c r="J50" s="55" t="n">
        <f aca="false">SUM(J6:J49)</f>
        <v>290766.5</v>
      </c>
      <c r="K50" s="55" t="n">
        <f aca="false">SUM(K6:K49)</f>
        <v>218119.1</v>
      </c>
      <c r="L50" s="55" t="n">
        <f aca="false">SUM(L6:L49)</f>
        <v>72647.4</v>
      </c>
      <c r="M50" s="56"/>
      <c r="N50" s="56"/>
      <c r="O50" s="56"/>
      <c r="P50" s="56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22" t="s">
        <v>444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3">
    <mergeCell ref="B2:O2"/>
    <mergeCell ref="B3:O3"/>
    <mergeCell ref="B52:P52"/>
  </mergeCells>
  <conditionalFormatting sqref="L6:L49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C4E1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7" min="6" style="0" width="13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445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446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3" t="s">
        <v>352</v>
      </c>
      <c r="C5" s="23" t="s">
        <v>447</v>
      </c>
      <c r="D5" s="23" t="s">
        <v>448</v>
      </c>
      <c r="E5" s="23" t="s">
        <v>218</v>
      </c>
      <c r="F5" s="23" t="s">
        <v>449</v>
      </c>
      <c r="G5" s="23" t="s">
        <v>450</v>
      </c>
      <c r="H5" s="23" t="s">
        <v>103</v>
      </c>
      <c r="I5" s="23" t="s">
        <v>354</v>
      </c>
      <c r="J5" s="23" t="s">
        <v>359</v>
      </c>
      <c r="K5" s="23" t="s">
        <v>61</v>
      </c>
      <c r="L5" s="1"/>
      <c r="M5" s="1"/>
      <c r="N5" s="1"/>
    </row>
    <row r="6" customFormat="false" ht="19.5" hidden="false" customHeight="true" outlineLevel="0" collapsed="false">
      <c r="A6" s="1"/>
      <c r="B6" s="123" t="n">
        <v>45672</v>
      </c>
      <c r="C6" s="103" t="s">
        <v>451</v>
      </c>
      <c r="D6" s="124" t="s">
        <v>452</v>
      </c>
      <c r="E6" s="124" t="s">
        <v>453</v>
      </c>
      <c r="F6" s="102" t="n">
        <v>12000</v>
      </c>
      <c r="G6" s="102" t="n">
        <v>0</v>
      </c>
      <c r="H6" s="103" t="s">
        <v>109</v>
      </c>
      <c r="I6" s="104" t="n">
        <f aca="false">(F6-G6)*IFERROR(INDEX(Settings_FX!$C$16:$I$27,MATCH(TEXT(B6,"mmm-yy"),Settings_FX!$B$16:$B$27,0),MATCH(H6,Settings_FX!$C$15:$I$15,0)),1)</f>
        <v>3267.6</v>
      </c>
      <c r="J6" s="103" t="s">
        <v>362</v>
      </c>
      <c r="K6" s="105" t="str">
        <f aca="false">TEXT(B6,"mmm-yy")</f>
        <v>Jan-25</v>
      </c>
      <c r="L6" s="1"/>
      <c r="M6" s="1"/>
      <c r="N6" s="1"/>
    </row>
    <row r="7" customFormat="false" ht="19.5" hidden="false" customHeight="true" outlineLevel="0" collapsed="false">
      <c r="A7" s="1"/>
      <c r="B7" s="125" t="n">
        <v>45677</v>
      </c>
      <c r="C7" s="108" t="s">
        <v>454</v>
      </c>
      <c r="D7" s="126" t="s">
        <v>455</v>
      </c>
      <c r="E7" s="126" t="s">
        <v>456</v>
      </c>
      <c r="F7" s="107" t="n">
        <v>45000</v>
      </c>
      <c r="G7" s="107" t="n">
        <v>0</v>
      </c>
      <c r="H7" s="108" t="s">
        <v>109</v>
      </c>
      <c r="I7" s="109" t="n">
        <f aca="false">(F7-G7)*IFERROR(INDEX(Settings_FX!$C$16:$I$27,MATCH(TEXT(B7,"mmm-yy"),Settings_FX!$B$16:$B$27,0),MATCH(H7,Settings_FX!$C$15:$I$15,0)),1)</f>
        <v>12253.5</v>
      </c>
      <c r="J7" s="108" t="s">
        <v>362</v>
      </c>
      <c r="K7" s="110" t="str">
        <f aca="false">TEXT(B7,"mmm-yy")</f>
        <v>Jan-25</v>
      </c>
      <c r="L7" s="1"/>
      <c r="M7" s="1"/>
      <c r="N7" s="1"/>
    </row>
    <row r="8" customFormat="false" ht="19.5" hidden="false" customHeight="true" outlineLevel="0" collapsed="false">
      <c r="A8" s="1"/>
      <c r="B8" s="123" t="n">
        <v>45685</v>
      </c>
      <c r="C8" s="103" t="s">
        <v>457</v>
      </c>
      <c r="D8" s="124" t="s">
        <v>458</v>
      </c>
      <c r="E8" s="124" t="s">
        <v>459</v>
      </c>
      <c r="F8" s="102" t="n">
        <v>2500</v>
      </c>
      <c r="G8" s="102" t="n">
        <v>0</v>
      </c>
      <c r="H8" s="103" t="s">
        <v>109</v>
      </c>
      <c r="I8" s="104" t="n">
        <f aca="false">(F8-G8)*IFERROR(INDEX(Settings_FX!$C$16:$I$27,MATCH(TEXT(B8,"mmm-yy"),Settings_FX!$B$16:$B$27,0),MATCH(H8,Settings_FX!$C$15:$I$15,0)),1)</f>
        <v>680.75</v>
      </c>
      <c r="J8" s="103" t="s">
        <v>362</v>
      </c>
      <c r="K8" s="105" t="str">
        <f aca="false">TEXT(B8,"mmm-yy")</f>
        <v>Jan-25</v>
      </c>
      <c r="L8" s="1"/>
      <c r="M8" s="1"/>
      <c r="N8" s="1"/>
    </row>
    <row r="9" customFormat="false" ht="19.5" hidden="false" customHeight="true" outlineLevel="0" collapsed="false">
      <c r="A9" s="1"/>
      <c r="B9" s="125" t="n">
        <v>45703</v>
      </c>
      <c r="C9" s="108" t="s">
        <v>451</v>
      </c>
      <c r="D9" s="126" t="s">
        <v>452</v>
      </c>
      <c r="E9" s="126" t="s">
        <v>460</v>
      </c>
      <c r="F9" s="107" t="n">
        <v>12000</v>
      </c>
      <c r="G9" s="107" t="n">
        <v>0</v>
      </c>
      <c r="H9" s="108" t="s">
        <v>109</v>
      </c>
      <c r="I9" s="109" t="n">
        <f aca="false">(F9-G9)*IFERROR(INDEX(Settings_FX!$C$16:$I$27,MATCH(TEXT(B9,"mmm-yy"),Settings_FX!$B$16:$B$27,0),MATCH(H9,Settings_FX!$C$15:$I$15,0)),1)</f>
        <v>3267.6</v>
      </c>
      <c r="J9" s="108" t="s">
        <v>362</v>
      </c>
      <c r="K9" s="110" t="str">
        <f aca="false">TEXT(B9,"mmm-yy")</f>
        <v>Feb-25</v>
      </c>
      <c r="L9" s="1"/>
      <c r="M9" s="1"/>
      <c r="N9" s="1"/>
    </row>
    <row r="10" customFormat="false" ht="19.5" hidden="false" customHeight="true" outlineLevel="0" collapsed="false">
      <c r="A10" s="1"/>
      <c r="B10" s="123" t="n">
        <v>45708</v>
      </c>
      <c r="C10" s="103" t="s">
        <v>454</v>
      </c>
      <c r="D10" s="124" t="s">
        <v>455</v>
      </c>
      <c r="E10" s="124" t="s">
        <v>461</v>
      </c>
      <c r="F10" s="102" t="n">
        <v>47000</v>
      </c>
      <c r="G10" s="102" t="n">
        <v>0</v>
      </c>
      <c r="H10" s="103" t="s">
        <v>109</v>
      </c>
      <c r="I10" s="104" t="n">
        <f aca="false">(F10-G10)*IFERROR(INDEX(Settings_FX!$C$16:$I$27,MATCH(TEXT(B10,"mmm-yy"),Settings_FX!$B$16:$B$27,0),MATCH(H10,Settings_FX!$C$15:$I$15,0)),1)</f>
        <v>12798.1</v>
      </c>
      <c r="J10" s="103" t="s">
        <v>362</v>
      </c>
      <c r="K10" s="105" t="str">
        <f aca="false">TEXT(B10,"mmm-yy")</f>
        <v>Feb-25</v>
      </c>
      <c r="L10" s="1"/>
      <c r="M10" s="1"/>
      <c r="N10" s="1"/>
    </row>
    <row r="11" customFormat="false" ht="19.5" hidden="false" customHeight="true" outlineLevel="0" collapsed="false">
      <c r="A11" s="1"/>
      <c r="B11" s="125" t="n">
        <v>45716</v>
      </c>
      <c r="C11" s="108" t="s">
        <v>457</v>
      </c>
      <c r="D11" s="126" t="s">
        <v>458</v>
      </c>
      <c r="E11" s="126" t="s">
        <v>462</v>
      </c>
      <c r="F11" s="107" t="n">
        <v>2600</v>
      </c>
      <c r="G11" s="107" t="n">
        <v>0</v>
      </c>
      <c r="H11" s="108" t="s">
        <v>109</v>
      </c>
      <c r="I11" s="109" t="n">
        <f aca="false">(F11-G11)*IFERROR(INDEX(Settings_FX!$C$16:$I$27,MATCH(TEXT(B11,"mmm-yy"),Settings_FX!$B$16:$B$27,0),MATCH(H11,Settings_FX!$C$15:$I$15,0)),1)</f>
        <v>707.98</v>
      </c>
      <c r="J11" s="108" t="s">
        <v>362</v>
      </c>
      <c r="K11" s="110" t="str">
        <f aca="false">TEXT(B11,"mmm-yy")</f>
        <v>Feb-25</v>
      </c>
      <c r="L11" s="1"/>
      <c r="M11" s="1"/>
      <c r="N11" s="1"/>
    </row>
    <row r="12" customFormat="false" ht="19.5" hidden="false" customHeight="true" outlineLevel="0" collapsed="false">
      <c r="A12" s="1"/>
      <c r="B12" s="123" t="n">
        <v>45731</v>
      </c>
      <c r="C12" s="103" t="s">
        <v>451</v>
      </c>
      <c r="D12" s="124" t="s">
        <v>452</v>
      </c>
      <c r="E12" s="124" t="s">
        <v>463</v>
      </c>
      <c r="F12" s="102" t="n">
        <v>12000</v>
      </c>
      <c r="G12" s="102" t="n">
        <v>0</v>
      </c>
      <c r="H12" s="103" t="s">
        <v>109</v>
      </c>
      <c r="I12" s="104" t="n">
        <f aca="false">(F12-G12)*IFERROR(INDEX(Settings_FX!$C$16:$I$27,MATCH(TEXT(B12,"mmm-yy"),Settings_FX!$B$16:$B$27,0),MATCH(H12,Settings_FX!$C$15:$I$15,0)),1)</f>
        <v>3267.6</v>
      </c>
      <c r="J12" s="103" t="s">
        <v>362</v>
      </c>
      <c r="K12" s="105" t="str">
        <f aca="false">TEXT(B12,"mmm-yy")</f>
        <v>Mar-25</v>
      </c>
      <c r="L12" s="1"/>
      <c r="M12" s="1"/>
      <c r="N12" s="1"/>
    </row>
    <row r="13" customFormat="false" ht="19.5" hidden="false" customHeight="true" outlineLevel="0" collapsed="false">
      <c r="A13" s="1"/>
      <c r="B13" s="125" t="n">
        <v>45736</v>
      </c>
      <c r="C13" s="108" t="s">
        <v>454</v>
      </c>
      <c r="D13" s="126" t="s">
        <v>455</v>
      </c>
      <c r="E13" s="126" t="s">
        <v>464</v>
      </c>
      <c r="F13" s="107" t="n">
        <v>50000</v>
      </c>
      <c r="G13" s="107" t="n">
        <v>0</v>
      </c>
      <c r="H13" s="108" t="s">
        <v>109</v>
      </c>
      <c r="I13" s="109" t="n">
        <f aca="false">(F13-G13)*IFERROR(INDEX(Settings_FX!$C$16:$I$27,MATCH(TEXT(B13,"mmm-yy"),Settings_FX!$B$16:$B$27,0),MATCH(H13,Settings_FX!$C$15:$I$15,0)),1)</f>
        <v>13615</v>
      </c>
      <c r="J13" s="108" t="s">
        <v>362</v>
      </c>
      <c r="K13" s="110" t="str">
        <f aca="false">TEXT(B13,"mmm-yy")</f>
        <v>Mar-25</v>
      </c>
      <c r="L13" s="1"/>
      <c r="M13" s="1"/>
      <c r="N13" s="1"/>
    </row>
    <row r="14" customFormat="false" ht="19.5" hidden="false" customHeight="true" outlineLevel="0" collapsed="false">
      <c r="A14" s="1"/>
      <c r="B14" s="123" t="n">
        <v>45744</v>
      </c>
      <c r="C14" s="103" t="s">
        <v>457</v>
      </c>
      <c r="D14" s="124" t="s">
        <v>458</v>
      </c>
      <c r="E14" s="124" t="s">
        <v>465</v>
      </c>
      <c r="F14" s="102" t="n">
        <v>2400</v>
      </c>
      <c r="G14" s="102" t="n">
        <v>0</v>
      </c>
      <c r="H14" s="103" t="s">
        <v>109</v>
      </c>
      <c r="I14" s="104" t="n">
        <f aca="false">(F14-G14)*IFERROR(INDEX(Settings_FX!$C$16:$I$27,MATCH(TEXT(B14,"mmm-yy"),Settings_FX!$B$16:$B$27,0),MATCH(H14,Settings_FX!$C$15:$I$15,0)),1)</f>
        <v>653.52</v>
      </c>
      <c r="J14" s="103" t="s">
        <v>362</v>
      </c>
      <c r="K14" s="105" t="str">
        <f aca="false">TEXT(B14,"mmm-yy")</f>
        <v>Mar-25</v>
      </c>
      <c r="L14" s="1"/>
      <c r="M14" s="1"/>
      <c r="N14" s="1"/>
    </row>
    <row r="15" customFormat="false" ht="19.5" hidden="false" customHeight="true" outlineLevel="0" collapsed="false">
      <c r="A15" s="1"/>
      <c r="B15" s="125" t="n">
        <v>45672</v>
      </c>
      <c r="C15" s="108" t="s">
        <v>451</v>
      </c>
      <c r="D15" s="126" t="s">
        <v>452</v>
      </c>
      <c r="E15" s="126" t="s">
        <v>466</v>
      </c>
      <c r="F15" s="107" t="n">
        <v>8000</v>
      </c>
      <c r="G15" s="107" t="n">
        <v>0</v>
      </c>
      <c r="H15" s="108" t="s">
        <v>121</v>
      </c>
      <c r="I15" s="109" t="n">
        <f aca="false">(F15-G15)*IFERROR(INDEX(Settings_FX!$C$16:$I$27,MATCH(TEXT(B15,"mmm-yy"),Settings_FX!$B$16:$B$27,0),MATCH(H15,Settings_FX!$C$15:$I$15,0)),1)</f>
        <v>5944</v>
      </c>
      <c r="J15" s="108" t="s">
        <v>368</v>
      </c>
      <c r="K15" s="110" t="str">
        <f aca="false">TEXT(B15,"mmm-yy")</f>
        <v>Jan-25</v>
      </c>
      <c r="L15" s="1"/>
      <c r="M15" s="1"/>
      <c r="N15" s="1"/>
    </row>
    <row r="16" customFormat="false" ht="19.5" hidden="false" customHeight="true" outlineLevel="0" collapsed="false">
      <c r="A16" s="1"/>
      <c r="B16" s="123" t="n">
        <v>45682</v>
      </c>
      <c r="C16" s="103" t="s">
        <v>454</v>
      </c>
      <c r="D16" s="124" t="s">
        <v>455</v>
      </c>
      <c r="E16" s="124" t="s">
        <v>467</v>
      </c>
      <c r="F16" s="102" t="n">
        <v>22000</v>
      </c>
      <c r="G16" s="102" t="n">
        <v>0</v>
      </c>
      <c r="H16" s="103" t="s">
        <v>121</v>
      </c>
      <c r="I16" s="104" t="n">
        <f aca="false">(F16-G16)*IFERROR(INDEX(Settings_FX!$C$16:$I$27,MATCH(TEXT(B16,"mmm-yy"),Settings_FX!$B$16:$B$27,0),MATCH(H16,Settings_FX!$C$15:$I$15,0)),1)</f>
        <v>16346</v>
      </c>
      <c r="J16" s="103" t="s">
        <v>368</v>
      </c>
      <c r="K16" s="105" t="str">
        <f aca="false">TEXT(B16,"mmm-yy")</f>
        <v>Jan-25</v>
      </c>
      <c r="L16" s="1"/>
      <c r="M16" s="1"/>
      <c r="N16" s="1"/>
    </row>
    <row r="17" customFormat="false" ht="19.5" hidden="false" customHeight="true" outlineLevel="0" collapsed="false">
      <c r="A17" s="1"/>
      <c r="B17" s="125" t="n">
        <v>45703</v>
      </c>
      <c r="C17" s="108" t="s">
        <v>451</v>
      </c>
      <c r="D17" s="126" t="s">
        <v>452</v>
      </c>
      <c r="E17" s="126" t="s">
        <v>468</v>
      </c>
      <c r="F17" s="107" t="n">
        <v>8000</v>
      </c>
      <c r="G17" s="107" t="n">
        <v>0</v>
      </c>
      <c r="H17" s="108" t="s">
        <v>121</v>
      </c>
      <c r="I17" s="109" t="n">
        <f aca="false">(F17-G17)*IFERROR(INDEX(Settings_FX!$C$16:$I$27,MATCH(TEXT(B17,"mmm-yy"),Settings_FX!$B$16:$B$27,0),MATCH(H17,Settings_FX!$C$15:$I$15,0)),1)</f>
        <v>5944</v>
      </c>
      <c r="J17" s="108" t="s">
        <v>368</v>
      </c>
      <c r="K17" s="110" t="str">
        <f aca="false">TEXT(B17,"mmm-yy")</f>
        <v>Feb-25</v>
      </c>
      <c r="L17" s="1"/>
      <c r="M17" s="1"/>
      <c r="N17" s="1"/>
    </row>
    <row r="18" customFormat="false" ht="19.5" hidden="false" customHeight="true" outlineLevel="0" collapsed="false">
      <c r="A18" s="1"/>
      <c r="B18" s="123" t="n">
        <v>45713</v>
      </c>
      <c r="C18" s="103" t="s">
        <v>454</v>
      </c>
      <c r="D18" s="124" t="s">
        <v>455</v>
      </c>
      <c r="E18" s="124" t="s">
        <v>469</v>
      </c>
      <c r="F18" s="102" t="n">
        <v>23000</v>
      </c>
      <c r="G18" s="102" t="n">
        <v>0</v>
      </c>
      <c r="H18" s="103" t="s">
        <v>121</v>
      </c>
      <c r="I18" s="104" t="n">
        <f aca="false">(F18-G18)*IFERROR(INDEX(Settings_FX!$C$16:$I$27,MATCH(TEXT(B18,"mmm-yy"),Settings_FX!$B$16:$B$27,0),MATCH(H18,Settings_FX!$C$15:$I$15,0)),1)</f>
        <v>17089</v>
      </c>
      <c r="J18" s="103" t="s">
        <v>368</v>
      </c>
      <c r="K18" s="105" t="str">
        <f aca="false">TEXT(B18,"mmm-yy")</f>
        <v>Feb-25</v>
      </c>
      <c r="L18" s="1"/>
      <c r="M18" s="1"/>
      <c r="N18" s="1"/>
    </row>
    <row r="19" customFormat="false" ht="19.5" hidden="false" customHeight="true" outlineLevel="0" collapsed="false">
      <c r="A19" s="1"/>
      <c r="B19" s="125" t="n">
        <v>45731</v>
      </c>
      <c r="C19" s="108" t="s">
        <v>451</v>
      </c>
      <c r="D19" s="126" t="s">
        <v>452</v>
      </c>
      <c r="E19" s="126" t="s">
        <v>470</v>
      </c>
      <c r="F19" s="107" t="n">
        <v>8000</v>
      </c>
      <c r="G19" s="107" t="n">
        <v>0</v>
      </c>
      <c r="H19" s="108" t="s">
        <v>121</v>
      </c>
      <c r="I19" s="109" t="n">
        <f aca="false">(F19-G19)*IFERROR(INDEX(Settings_FX!$C$16:$I$27,MATCH(TEXT(B19,"mmm-yy"),Settings_FX!$B$16:$B$27,0),MATCH(H19,Settings_FX!$C$15:$I$15,0)),1)</f>
        <v>5944</v>
      </c>
      <c r="J19" s="108" t="s">
        <v>368</v>
      </c>
      <c r="K19" s="110" t="str">
        <f aca="false">TEXT(B19,"mmm-yy")</f>
        <v>Mar-25</v>
      </c>
      <c r="L19" s="1"/>
      <c r="M19" s="1"/>
      <c r="N19" s="1"/>
    </row>
    <row r="20" customFormat="false" ht="19.5" hidden="false" customHeight="true" outlineLevel="0" collapsed="false">
      <c r="A20" s="1"/>
      <c r="B20" s="123" t="n">
        <v>45741</v>
      </c>
      <c r="C20" s="103" t="s">
        <v>454</v>
      </c>
      <c r="D20" s="124" t="s">
        <v>455</v>
      </c>
      <c r="E20" s="124" t="s">
        <v>471</v>
      </c>
      <c r="F20" s="102" t="n">
        <v>24000</v>
      </c>
      <c r="G20" s="102" t="n">
        <v>0</v>
      </c>
      <c r="H20" s="103" t="s">
        <v>121</v>
      </c>
      <c r="I20" s="104" t="n">
        <f aca="false">(F20-G20)*IFERROR(INDEX(Settings_FX!$C$16:$I$27,MATCH(TEXT(B20,"mmm-yy"),Settings_FX!$B$16:$B$27,0),MATCH(H20,Settings_FX!$C$15:$I$15,0)),1)</f>
        <v>17832</v>
      </c>
      <c r="J20" s="103" t="s">
        <v>368</v>
      </c>
      <c r="K20" s="105" t="str">
        <f aca="false">TEXT(B20,"mmm-yy")</f>
        <v>Mar-25</v>
      </c>
      <c r="L20" s="1"/>
      <c r="M20" s="1"/>
      <c r="N20" s="1"/>
    </row>
    <row r="21" customFormat="false" ht="19.5" hidden="false" customHeight="true" outlineLevel="0" collapsed="false">
      <c r="A21" s="1"/>
      <c r="B21" s="125" t="n">
        <v>45762</v>
      </c>
      <c r="C21" s="108" t="s">
        <v>451</v>
      </c>
      <c r="D21" s="126" t="s">
        <v>452</v>
      </c>
      <c r="E21" s="126" t="s">
        <v>472</v>
      </c>
      <c r="F21" s="107" t="n">
        <v>12000</v>
      </c>
      <c r="G21" s="107" t="n">
        <v>0</v>
      </c>
      <c r="H21" s="108" t="s">
        <v>109</v>
      </c>
      <c r="I21" s="109" t="n">
        <f aca="false">(F21-G21)*IFERROR(INDEX(Settings_FX!$C$16:$I$27,MATCH(TEXT(B21,"mmm-yy"),Settings_FX!$B$16:$B$27,0),MATCH(H21,Settings_FX!$C$15:$I$15,0)),1)</f>
        <v>3267.6</v>
      </c>
      <c r="J21" s="108" t="s">
        <v>362</v>
      </c>
      <c r="K21" s="110" t="str">
        <f aca="false">TEXT(B21,"mmm-yy")</f>
        <v>Apr-25</v>
      </c>
      <c r="L21" s="1"/>
      <c r="M21" s="1"/>
      <c r="N21" s="1"/>
    </row>
    <row r="22" customFormat="false" ht="19.5" hidden="false" customHeight="true" outlineLevel="0" collapsed="false">
      <c r="A22" s="1"/>
      <c r="B22" s="123" t="n">
        <v>45767</v>
      </c>
      <c r="C22" s="103" t="s">
        <v>454</v>
      </c>
      <c r="D22" s="124" t="s">
        <v>455</v>
      </c>
      <c r="E22" s="124" t="s">
        <v>473</v>
      </c>
      <c r="F22" s="102" t="n">
        <v>52000</v>
      </c>
      <c r="G22" s="102" t="n">
        <v>0</v>
      </c>
      <c r="H22" s="103" t="s">
        <v>109</v>
      </c>
      <c r="I22" s="104" t="n">
        <f aca="false">(F22-G22)*IFERROR(INDEX(Settings_FX!$C$16:$I$27,MATCH(TEXT(B22,"mmm-yy"),Settings_FX!$B$16:$B$27,0),MATCH(H22,Settings_FX!$C$15:$I$15,0)),1)</f>
        <v>14159.6</v>
      </c>
      <c r="J22" s="103" t="s">
        <v>362</v>
      </c>
      <c r="K22" s="105" t="str">
        <f aca="false">TEXT(B22,"mmm-yy")</f>
        <v>Apr-25</v>
      </c>
      <c r="L22" s="1"/>
      <c r="M22" s="1"/>
      <c r="N22" s="1"/>
    </row>
    <row r="23" customFormat="false" ht="19.5" hidden="false" customHeight="true" outlineLevel="0" collapsed="false">
      <c r="A23" s="1"/>
      <c r="B23" s="125" t="n">
        <v>45762</v>
      </c>
      <c r="C23" s="108" t="s">
        <v>451</v>
      </c>
      <c r="D23" s="126" t="s">
        <v>452</v>
      </c>
      <c r="E23" s="126" t="s">
        <v>474</v>
      </c>
      <c r="F23" s="107" t="n">
        <v>8000</v>
      </c>
      <c r="G23" s="107" t="n">
        <v>0</v>
      </c>
      <c r="H23" s="108" t="s">
        <v>121</v>
      </c>
      <c r="I23" s="109" t="n">
        <f aca="false">(F23-G23)*IFERROR(INDEX(Settings_FX!$C$16:$I$27,MATCH(TEXT(B23,"mmm-yy"),Settings_FX!$B$16:$B$27,0),MATCH(H23,Settings_FX!$C$15:$I$15,0)),1)</f>
        <v>5948</v>
      </c>
      <c r="J23" s="108" t="s">
        <v>368</v>
      </c>
      <c r="K23" s="110" t="str">
        <f aca="false">TEXT(B23,"mmm-yy")</f>
        <v>Apr-25</v>
      </c>
      <c r="L23" s="1"/>
      <c r="M23" s="1"/>
      <c r="N23" s="1"/>
    </row>
    <row r="24" customFormat="false" ht="19.5" hidden="false" customHeight="true" outlineLevel="0" collapsed="false">
      <c r="A24" s="1"/>
      <c r="B24" s="123" t="n">
        <v>45772</v>
      </c>
      <c r="C24" s="103" t="s">
        <v>454</v>
      </c>
      <c r="D24" s="124" t="s">
        <v>455</v>
      </c>
      <c r="E24" s="124" t="s">
        <v>475</v>
      </c>
      <c r="F24" s="102" t="n">
        <v>25000</v>
      </c>
      <c r="G24" s="102" t="n">
        <v>0</v>
      </c>
      <c r="H24" s="103" t="s">
        <v>121</v>
      </c>
      <c r="I24" s="104" t="n">
        <f aca="false">(F24-G24)*IFERROR(INDEX(Settings_FX!$C$16:$I$27,MATCH(TEXT(B24,"mmm-yy"),Settings_FX!$B$16:$B$27,0),MATCH(H24,Settings_FX!$C$15:$I$15,0)),1)</f>
        <v>18587.5</v>
      </c>
      <c r="J24" s="103" t="s">
        <v>368</v>
      </c>
      <c r="K24" s="105" t="str">
        <f aca="false">TEXT(B24,"mmm-yy")</f>
        <v>Apr-25</v>
      </c>
      <c r="L24" s="1"/>
      <c r="M24" s="1"/>
      <c r="N24" s="1"/>
    </row>
    <row r="25" customFormat="false" ht="19.5" hidden="false" customHeight="true" outlineLevel="0" collapsed="false">
      <c r="A25" s="1"/>
      <c r="B25" s="125" t="n">
        <v>45792</v>
      </c>
      <c r="C25" s="108" t="s">
        <v>451</v>
      </c>
      <c r="D25" s="126" t="s">
        <v>452</v>
      </c>
      <c r="E25" s="126" t="s">
        <v>476</v>
      </c>
      <c r="F25" s="107" t="n">
        <v>12000</v>
      </c>
      <c r="G25" s="107" t="n">
        <v>0</v>
      </c>
      <c r="H25" s="108" t="s">
        <v>109</v>
      </c>
      <c r="I25" s="109" t="n">
        <f aca="false">(F25-G25)*IFERROR(INDEX(Settings_FX!$C$16:$I$27,MATCH(TEXT(B25,"mmm-yy"),Settings_FX!$B$16:$B$27,0),MATCH(H25,Settings_FX!$C$15:$I$15,0)),1)</f>
        <v>3267.6</v>
      </c>
      <c r="J25" s="108" t="s">
        <v>362</v>
      </c>
      <c r="K25" s="110" t="str">
        <f aca="false">TEXT(B25,"mmm-yy")</f>
        <v>May-25</v>
      </c>
      <c r="L25" s="1"/>
      <c r="M25" s="1"/>
      <c r="N25" s="1"/>
    </row>
    <row r="26" customFormat="false" ht="19.5" hidden="false" customHeight="true" outlineLevel="0" collapsed="false">
      <c r="A26" s="1"/>
      <c r="B26" s="123" t="n">
        <v>45797</v>
      </c>
      <c r="C26" s="103" t="s">
        <v>454</v>
      </c>
      <c r="D26" s="124" t="s">
        <v>455</v>
      </c>
      <c r="E26" s="124" t="s">
        <v>477</v>
      </c>
      <c r="F26" s="102" t="n">
        <v>55000</v>
      </c>
      <c r="G26" s="102" t="n">
        <v>0</v>
      </c>
      <c r="H26" s="103" t="s">
        <v>109</v>
      </c>
      <c r="I26" s="104" t="n">
        <f aca="false">(F26-G26)*IFERROR(INDEX(Settings_FX!$C$16:$I$27,MATCH(TEXT(B26,"mmm-yy"),Settings_FX!$B$16:$B$27,0),MATCH(H26,Settings_FX!$C$15:$I$15,0)),1)</f>
        <v>14976.5</v>
      </c>
      <c r="J26" s="103" t="s">
        <v>362</v>
      </c>
      <c r="K26" s="105" t="str">
        <f aca="false">TEXT(B26,"mmm-yy")</f>
        <v>May-25</v>
      </c>
      <c r="L26" s="1"/>
      <c r="M26" s="1"/>
      <c r="N26" s="1"/>
    </row>
    <row r="27" customFormat="false" ht="19.5" hidden="false" customHeight="true" outlineLevel="0" collapsed="false">
      <c r="A27" s="1"/>
      <c r="B27" s="125" t="n">
        <v>45823</v>
      </c>
      <c r="C27" s="108" t="s">
        <v>451</v>
      </c>
      <c r="D27" s="126" t="s">
        <v>452</v>
      </c>
      <c r="E27" s="126" t="s">
        <v>478</v>
      </c>
      <c r="F27" s="107" t="n">
        <v>12000</v>
      </c>
      <c r="G27" s="107" t="n">
        <v>0</v>
      </c>
      <c r="H27" s="108" t="s">
        <v>109</v>
      </c>
      <c r="I27" s="109" t="n">
        <f aca="false">(F27-G27)*IFERROR(INDEX(Settings_FX!$C$16:$I$27,MATCH(TEXT(B27,"mmm-yy"),Settings_FX!$B$16:$B$27,0),MATCH(H27,Settings_FX!$C$15:$I$15,0)),1)</f>
        <v>3267.6</v>
      </c>
      <c r="J27" s="108" t="s">
        <v>362</v>
      </c>
      <c r="K27" s="110" t="str">
        <f aca="false">TEXT(B27,"mmm-yy")</f>
        <v>Jun-25</v>
      </c>
      <c r="L27" s="1"/>
      <c r="M27" s="1"/>
      <c r="N27" s="1"/>
    </row>
    <row r="28" customFormat="false" ht="19.5" hidden="false" customHeight="true" outlineLevel="0" collapsed="false">
      <c r="A28" s="1"/>
      <c r="B28" s="123" t="n">
        <v>45828</v>
      </c>
      <c r="C28" s="103" t="s">
        <v>454</v>
      </c>
      <c r="D28" s="124" t="s">
        <v>455</v>
      </c>
      <c r="E28" s="124" t="s">
        <v>479</v>
      </c>
      <c r="F28" s="102" t="n">
        <v>58000</v>
      </c>
      <c r="G28" s="102" t="n">
        <v>0</v>
      </c>
      <c r="H28" s="103" t="s">
        <v>109</v>
      </c>
      <c r="I28" s="104" t="n">
        <f aca="false">(F28-G28)*IFERROR(INDEX(Settings_FX!$C$16:$I$27,MATCH(TEXT(B28,"mmm-yy"),Settings_FX!$B$16:$B$27,0),MATCH(H28,Settings_FX!$C$15:$I$15,0)),1)</f>
        <v>15793.4</v>
      </c>
      <c r="J28" s="103" t="s">
        <v>362</v>
      </c>
      <c r="K28" s="105" t="str">
        <f aca="false">TEXT(B28,"mmm-yy")</f>
        <v>Jun-25</v>
      </c>
      <c r="L28" s="1"/>
      <c r="M28" s="1"/>
      <c r="N28" s="1"/>
    </row>
    <row r="29" customFormat="false" ht="19.5" hidden="false" customHeight="true" outlineLevel="0" collapsed="false">
      <c r="A29" s="1"/>
      <c r="B29" s="125" t="n">
        <v>45853</v>
      </c>
      <c r="C29" s="108" t="s">
        <v>451</v>
      </c>
      <c r="D29" s="126" t="s">
        <v>452</v>
      </c>
      <c r="E29" s="126" t="s">
        <v>480</v>
      </c>
      <c r="F29" s="107" t="n">
        <v>12500</v>
      </c>
      <c r="G29" s="107" t="n">
        <v>0</v>
      </c>
      <c r="H29" s="108" t="s">
        <v>109</v>
      </c>
      <c r="I29" s="109" t="n">
        <f aca="false">(F29-G29)*IFERROR(INDEX(Settings_FX!$C$16:$I$27,MATCH(TEXT(B29,"mmm-yy"),Settings_FX!$B$16:$B$27,0),MATCH(H29,Settings_FX!$C$15:$I$15,0)),1)</f>
        <v>3403.75</v>
      </c>
      <c r="J29" s="108" t="s">
        <v>362</v>
      </c>
      <c r="K29" s="110" t="str">
        <f aca="false">TEXT(B29,"mmm-yy")</f>
        <v>Jul-25</v>
      </c>
      <c r="L29" s="1"/>
      <c r="M29" s="1"/>
      <c r="N29" s="1"/>
    </row>
    <row r="30" customFormat="false" ht="19.5" hidden="false" customHeight="true" outlineLevel="0" collapsed="false">
      <c r="A30" s="1"/>
      <c r="B30" s="123" t="n">
        <v>45858</v>
      </c>
      <c r="C30" s="103" t="s">
        <v>454</v>
      </c>
      <c r="D30" s="124" t="s">
        <v>455</v>
      </c>
      <c r="E30" s="124" t="s">
        <v>481</v>
      </c>
      <c r="F30" s="102" t="n">
        <v>62000</v>
      </c>
      <c r="G30" s="102" t="n">
        <v>0</v>
      </c>
      <c r="H30" s="103" t="s">
        <v>109</v>
      </c>
      <c r="I30" s="104" t="n">
        <f aca="false">(F30-G30)*IFERROR(INDEX(Settings_FX!$C$16:$I$27,MATCH(TEXT(B30,"mmm-yy"),Settings_FX!$B$16:$B$27,0),MATCH(H30,Settings_FX!$C$15:$I$15,0)),1)</f>
        <v>16882.6</v>
      </c>
      <c r="J30" s="103" t="s">
        <v>362</v>
      </c>
      <c r="K30" s="105" t="str">
        <f aca="false">TEXT(B30,"mmm-yy")</f>
        <v>Jul-25</v>
      </c>
      <c r="L30" s="1"/>
      <c r="M30" s="1"/>
      <c r="N30" s="1"/>
    </row>
    <row r="31" customFormat="false" ht="24" hidden="false" customHeight="true" outlineLevel="0" collapsed="false">
      <c r="A31" s="1"/>
      <c r="B31" s="40" t="s">
        <v>146</v>
      </c>
      <c r="C31" s="56"/>
      <c r="D31" s="56"/>
      <c r="E31" s="56"/>
      <c r="F31" s="55" t="n">
        <f aca="false">SUM(F6:F30)</f>
        <v>587000</v>
      </c>
      <c r="G31" s="55" t="n">
        <f aca="false">SUM(G6:G30)</f>
        <v>0</v>
      </c>
      <c r="H31" s="56"/>
      <c r="I31" s="55" t="n">
        <f aca="false">SUM(I6:I30)</f>
        <v>219164.8</v>
      </c>
      <c r="J31" s="56"/>
      <c r="K31" s="56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C4E1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482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</row>
    <row r="3" customFormat="false" ht="18" hidden="false" customHeight="true" outlineLevel="0" collapsed="false">
      <c r="A3" s="1"/>
      <c r="B3" s="3" t="s">
        <v>483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</row>
    <row r="4" customFormat="false" ht="19.5" hidden="false" customHeight="true" outlineLevel="0" collapsed="false">
      <c r="A4" s="1"/>
      <c r="B4" s="127" t="s">
        <v>484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"/>
      <c r="N4" s="1"/>
    </row>
    <row r="5" customFormat="false" ht="30" hidden="false" customHeight="true" outlineLevel="0" collapsed="false">
      <c r="A5" s="1"/>
      <c r="B5" s="23" t="s">
        <v>485</v>
      </c>
      <c r="C5" s="23" t="s">
        <v>352</v>
      </c>
      <c r="D5" s="23" t="s">
        <v>98</v>
      </c>
      <c r="E5" s="23" t="s">
        <v>218</v>
      </c>
      <c r="F5" s="23" t="s">
        <v>353</v>
      </c>
      <c r="G5" s="23" t="s">
        <v>103</v>
      </c>
      <c r="H5" s="23" t="s">
        <v>354</v>
      </c>
      <c r="I5" s="23" t="s">
        <v>486</v>
      </c>
      <c r="J5" s="23" t="s">
        <v>358</v>
      </c>
      <c r="K5" s="23" t="s">
        <v>359</v>
      </c>
      <c r="L5" s="23" t="s">
        <v>61</v>
      </c>
      <c r="M5" s="23" t="s">
        <v>107</v>
      </c>
      <c r="N5" s="1"/>
    </row>
    <row r="6" customFormat="false" ht="19.5" hidden="false" customHeight="true" outlineLevel="0" collapsed="false">
      <c r="A6" s="1"/>
      <c r="B6" s="103" t="s">
        <v>487</v>
      </c>
      <c r="C6" s="123" t="n">
        <v>45667</v>
      </c>
      <c r="D6" s="124" t="s">
        <v>108</v>
      </c>
      <c r="E6" s="124" t="s">
        <v>488</v>
      </c>
      <c r="F6" s="102" t="n">
        <v>12000</v>
      </c>
      <c r="G6" s="103" t="s">
        <v>109</v>
      </c>
      <c r="H6" s="104" t="n">
        <f aca="false">F6*IFERROR(INDEX(Settings_FX!$C$16:$I$27,MATCH(TEXT(C6,"mmm-yy"),Settings_FX!$B$16:$B$27,0),MATCH(G6,Settings_FX!$C$15:$I$15,0)),1)</f>
        <v>3267.6</v>
      </c>
      <c r="I6" s="102" t="n">
        <v>12000</v>
      </c>
      <c r="J6" s="104" t="n">
        <f aca="false">H6-(I6*IFERROR(INDEX(Settings_FX!$C$16:$I$27,MATCH(TEXT(C6,"mmm-yy"),Settings_FX!$B$16:$B$27,0),MATCH(G6,Settings_FX!$C$15:$I$15,0)),1))</f>
        <v>0</v>
      </c>
      <c r="K6" s="103" t="s">
        <v>362</v>
      </c>
      <c r="L6" s="105" t="str">
        <f aca="false">TEXT(C6,"mmm-yy")</f>
        <v>Jan-25</v>
      </c>
      <c r="M6" s="106" t="s">
        <v>142</v>
      </c>
      <c r="N6" s="1"/>
    </row>
    <row r="7" customFormat="false" ht="19.5" hidden="false" customHeight="true" outlineLevel="0" collapsed="false">
      <c r="A7" s="1"/>
      <c r="B7" s="108" t="s">
        <v>489</v>
      </c>
      <c r="C7" s="125" t="n">
        <v>45672</v>
      </c>
      <c r="D7" s="126" t="s">
        <v>110</v>
      </c>
      <c r="E7" s="126" t="s">
        <v>490</v>
      </c>
      <c r="F7" s="107" t="n">
        <v>4500</v>
      </c>
      <c r="G7" s="108" t="s">
        <v>109</v>
      </c>
      <c r="H7" s="109" t="n">
        <f aca="false">F7*IFERROR(INDEX(Settings_FX!$C$16:$I$27,MATCH(TEXT(C7,"mmm-yy"),Settings_FX!$B$16:$B$27,0),MATCH(G7,Settings_FX!$C$15:$I$15,0)),1)</f>
        <v>1225.35</v>
      </c>
      <c r="I7" s="107" t="n">
        <v>4500</v>
      </c>
      <c r="J7" s="109" t="n">
        <f aca="false">H7-(I7*IFERROR(INDEX(Settings_FX!$C$16:$I$27,MATCH(TEXT(C7,"mmm-yy"),Settings_FX!$B$16:$B$27,0),MATCH(G7,Settings_FX!$C$15:$I$15,0)),1))</f>
        <v>0</v>
      </c>
      <c r="K7" s="108" t="s">
        <v>362</v>
      </c>
      <c r="L7" s="110" t="str">
        <f aca="false">TEXT(C7,"mmm-yy")</f>
        <v>Jan-25</v>
      </c>
      <c r="M7" s="111" t="s">
        <v>142</v>
      </c>
      <c r="N7" s="1"/>
    </row>
    <row r="8" customFormat="false" ht="19.5" hidden="false" customHeight="true" outlineLevel="0" collapsed="false">
      <c r="A8" s="1"/>
      <c r="B8" s="103" t="s">
        <v>491</v>
      </c>
      <c r="C8" s="123" t="n">
        <v>45696</v>
      </c>
      <c r="D8" s="124" t="s">
        <v>111</v>
      </c>
      <c r="E8" s="124" t="s">
        <v>492</v>
      </c>
      <c r="F8" s="102" t="n">
        <v>18000</v>
      </c>
      <c r="G8" s="103" t="s">
        <v>112</v>
      </c>
      <c r="H8" s="104" t="n">
        <f aca="false">F8*IFERROR(INDEX(Settings_FX!$C$16:$I$27,MATCH(TEXT(C8,"mmm-yy"),Settings_FX!$B$16:$B$27,0),MATCH(G8,Settings_FX!$C$15:$I$15,0)),1)</f>
        <v>18000</v>
      </c>
      <c r="I8" s="102" t="n">
        <v>18000</v>
      </c>
      <c r="J8" s="104" t="n">
        <f aca="false">H8-(I8*IFERROR(INDEX(Settings_FX!$C$16:$I$27,MATCH(TEXT(C8,"mmm-yy"),Settings_FX!$B$16:$B$27,0),MATCH(G8,Settings_FX!$C$15:$I$15,0)),1))</f>
        <v>0</v>
      </c>
      <c r="K8" s="103" t="s">
        <v>362</v>
      </c>
      <c r="L8" s="105" t="str">
        <f aca="false">TEXT(C8,"mmm-yy")</f>
        <v>Feb-25</v>
      </c>
      <c r="M8" s="106" t="s">
        <v>142</v>
      </c>
      <c r="N8" s="1"/>
    </row>
    <row r="9" customFormat="false" ht="19.5" hidden="false" customHeight="true" outlineLevel="0" collapsed="false">
      <c r="A9" s="1"/>
      <c r="B9" s="108" t="s">
        <v>493</v>
      </c>
      <c r="C9" s="125" t="n">
        <v>45708</v>
      </c>
      <c r="D9" s="126" t="s">
        <v>120</v>
      </c>
      <c r="E9" s="126" t="s">
        <v>494</v>
      </c>
      <c r="F9" s="107" t="n">
        <v>6800</v>
      </c>
      <c r="G9" s="108" t="s">
        <v>121</v>
      </c>
      <c r="H9" s="109" t="n">
        <f aca="false">F9*IFERROR(INDEX(Settings_FX!$C$16:$I$27,MATCH(TEXT(C9,"mmm-yy"),Settings_FX!$B$16:$B$27,0),MATCH(G9,Settings_FX!$C$15:$I$15,0)),1)</f>
        <v>5052.4</v>
      </c>
      <c r="I9" s="107" t="n">
        <v>6800</v>
      </c>
      <c r="J9" s="109" t="n">
        <f aca="false">H9-(I9*IFERROR(INDEX(Settings_FX!$C$16:$I$27,MATCH(TEXT(C9,"mmm-yy"),Settings_FX!$B$16:$B$27,0),MATCH(G9,Settings_FX!$C$15:$I$15,0)),1))</f>
        <v>0</v>
      </c>
      <c r="K9" s="108" t="s">
        <v>368</v>
      </c>
      <c r="L9" s="110" t="str">
        <f aca="false">TEXT(C9,"mmm-yy")</f>
        <v>Feb-25</v>
      </c>
      <c r="M9" s="111" t="s">
        <v>142</v>
      </c>
      <c r="N9" s="1"/>
    </row>
    <row r="10" customFormat="false" ht="19.5" hidden="false" customHeight="true" outlineLevel="0" collapsed="false">
      <c r="A10" s="1"/>
      <c r="B10" s="103" t="s">
        <v>495</v>
      </c>
      <c r="C10" s="123" t="n">
        <v>45721</v>
      </c>
      <c r="D10" s="124" t="s">
        <v>123</v>
      </c>
      <c r="E10" s="124" t="s">
        <v>496</v>
      </c>
      <c r="F10" s="102" t="n">
        <v>24000</v>
      </c>
      <c r="G10" s="103" t="s">
        <v>121</v>
      </c>
      <c r="H10" s="104" t="n">
        <f aca="false">F10*IFERROR(INDEX(Settings_FX!$C$16:$I$27,MATCH(TEXT(C10,"mmm-yy"),Settings_FX!$B$16:$B$27,0),MATCH(G10,Settings_FX!$C$15:$I$15,0)),1)</f>
        <v>17832</v>
      </c>
      <c r="I10" s="102" t="n">
        <v>24000</v>
      </c>
      <c r="J10" s="104" t="n">
        <f aca="false">H10-(I10*IFERROR(INDEX(Settings_FX!$C$16:$I$27,MATCH(TEXT(C10,"mmm-yy"),Settings_FX!$B$16:$B$27,0),MATCH(G10,Settings_FX!$C$15:$I$15,0)),1))</f>
        <v>0</v>
      </c>
      <c r="K10" s="103" t="s">
        <v>368</v>
      </c>
      <c r="L10" s="105" t="str">
        <f aca="false">TEXT(C10,"mmm-yy")</f>
        <v>Mar-25</v>
      </c>
      <c r="M10" s="106" t="s">
        <v>142</v>
      </c>
      <c r="N10" s="1"/>
    </row>
    <row r="11" customFormat="false" ht="19.5" hidden="false" customHeight="true" outlineLevel="0" collapsed="false">
      <c r="A11" s="1"/>
      <c r="B11" s="108" t="s">
        <v>497</v>
      </c>
      <c r="C11" s="125" t="n">
        <v>45734</v>
      </c>
      <c r="D11" s="126" t="s">
        <v>108</v>
      </c>
      <c r="E11" s="126" t="s">
        <v>498</v>
      </c>
      <c r="F11" s="107" t="n">
        <v>3800</v>
      </c>
      <c r="G11" s="108" t="s">
        <v>109</v>
      </c>
      <c r="H11" s="109" t="n">
        <f aca="false">F11*IFERROR(INDEX(Settings_FX!$C$16:$I$27,MATCH(TEXT(C11,"mmm-yy"),Settings_FX!$B$16:$B$27,0),MATCH(G11,Settings_FX!$C$15:$I$15,0)),1)</f>
        <v>1034.74</v>
      </c>
      <c r="I11" s="107" t="n">
        <v>2000</v>
      </c>
      <c r="J11" s="109" t="n">
        <f aca="false">H11-(I11*IFERROR(INDEX(Settings_FX!$C$16:$I$27,MATCH(TEXT(C11,"mmm-yy"),Settings_FX!$B$16:$B$27,0),MATCH(G11,Settings_FX!$C$15:$I$15,0)),1))</f>
        <v>490.14</v>
      </c>
      <c r="K11" s="108" t="s">
        <v>362</v>
      </c>
      <c r="L11" s="110" t="str">
        <f aca="false">TEXT(C11,"mmm-yy")</f>
        <v>Mar-25</v>
      </c>
      <c r="M11" s="70" t="s">
        <v>141</v>
      </c>
      <c r="N11" s="1"/>
    </row>
    <row r="12" customFormat="false" ht="19.5" hidden="false" customHeight="true" outlineLevel="0" collapsed="false">
      <c r="A12" s="1"/>
      <c r="B12" s="103" t="s">
        <v>499</v>
      </c>
      <c r="C12" s="123" t="n">
        <v>45759</v>
      </c>
      <c r="D12" s="124" t="s">
        <v>114</v>
      </c>
      <c r="E12" s="124" t="s">
        <v>500</v>
      </c>
      <c r="F12" s="102" t="n">
        <v>7500</v>
      </c>
      <c r="G12" s="103" t="s">
        <v>109</v>
      </c>
      <c r="H12" s="104" t="n">
        <f aca="false">F12*IFERROR(INDEX(Settings_FX!$C$16:$I$27,MATCH(TEXT(C12,"mmm-yy"),Settings_FX!$B$16:$B$27,0),MATCH(G12,Settings_FX!$C$15:$I$15,0)),1)</f>
        <v>2042.25</v>
      </c>
      <c r="I12" s="102" t="n">
        <v>7500</v>
      </c>
      <c r="J12" s="104" t="n">
        <f aca="false">H12-(I12*IFERROR(INDEX(Settings_FX!$C$16:$I$27,MATCH(TEXT(C12,"mmm-yy"),Settings_FX!$B$16:$B$27,0),MATCH(G12,Settings_FX!$C$15:$I$15,0)),1))</f>
        <v>0</v>
      </c>
      <c r="K12" s="103" t="s">
        <v>362</v>
      </c>
      <c r="L12" s="105" t="str">
        <f aca="false">TEXT(C12,"mmm-yy")</f>
        <v>Apr-25</v>
      </c>
      <c r="M12" s="106" t="s">
        <v>142</v>
      </c>
      <c r="N12" s="1"/>
    </row>
    <row r="13" customFormat="false" ht="19.5" hidden="false" customHeight="true" outlineLevel="0" collapsed="false">
      <c r="A13" s="1"/>
      <c r="B13" s="108" t="s">
        <v>501</v>
      </c>
      <c r="C13" s="125" t="n">
        <v>45769</v>
      </c>
      <c r="D13" s="126" t="s">
        <v>122</v>
      </c>
      <c r="E13" s="126" t="s">
        <v>502</v>
      </c>
      <c r="F13" s="107" t="n">
        <v>15500</v>
      </c>
      <c r="G13" s="108" t="s">
        <v>112</v>
      </c>
      <c r="H13" s="109" t="n">
        <f aca="false">F13*IFERROR(INDEX(Settings_FX!$C$16:$I$27,MATCH(TEXT(C13,"mmm-yy"),Settings_FX!$B$16:$B$27,0),MATCH(G13,Settings_FX!$C$15:$I$15,0)),1)</f>
        <v>15500</v>
      </c>
      <c r="I13" s="107" t="n">
        <v>15500</v>
      </c>
      <c r="J13" s="109" t="n">
        <f aca="false">H13-(I13*IFERROR(INDEX(Settings_FX!$C$16:$I$27,MATCH(TEXT(C13,"mmm-yy"),Settings_FX!$B$16:$B$27,0),MATCH(G13,Settings_FX!$C$15:$I$15,0)),1))</f>
        <v>0</v>
      </c>
      <c r="K13" s="108" t="s">
        <v>368</v>
      </c>
      <c r="L13" s="110" t="str">
        <f aca="false">TEXT(C13,"mmm-yy")</f>
        <v>Apr-25</v>
      </c>
      <c r="M13" s="111" t="s">
        <v>142</v>
      </c>
      <c r="N13" s="1"/>
    </row>
    <row r="14" customFormat="false" ht="19.5" hidden="false" customHeight="true" outlineLevel="0" collapsed="false">
      <c r="A14" s="1"/>
      <c r="B14" s="103" t="s">
        <v>503</v>
      </c>
      <c r="C14" s="123" t="n">
        <v>45785</v>
      </c>
      <c r="D14" s="124" t="s">
        <v>124</v>
      </c>
      <c r="E14" s="124" t="s">
        <v>504</v>
      </c>
      <c r="F14" s="102" t="n">
        <v>4200</v>
      </c>
      <c r="G14" s="103" t="s">
        <v>121</v>
      </c>
      <c r="H14" s="104" t="n">
        <f aca="false">F14*IFERROR(INDEX(Settings_FX!$C$16:$I$27,MATCH(TEXT(C14,"mmm-yy"),Settings_FX!$B$16:$B$27,0),MATCH(G14,Settings_FX!$C$15:$I$15,0)),1)</f>
        <v>3124.8</v>
      </c>
      <c r="I14" s="102" t="n">
        <v>4200</v>
      </c>
      <c r="J14" s="104" t="n">
        <f aca="false">H14-(I14*IFERROR(INDEX(Settings_FX!$C$16:$I$27,MATCH(TEXT(C14,"mmm-yy"),Settings_FX!$B$16:$B$27,0),MATCH(G14,Settings_FX!$C$15:$I$15,0)),1))</f>
        <v>0</v>
      </c>
      <c r="K14" s="103" t="s">
        <v>368</v>
      </c>
      <c r="L14" s="105" t="str">
        <f aca="false">TEXT(C14,"mmm-yy")</f>
        <v>May-25</v>
      </c>
      <c r="M14" s="106" t="s">
        <v>142</v>
      </c>
      <c r="N14" s="1"/>
    </row>
    <row r="15" customFormat="false" ht="19.5" hidden="false" customHeight="true" outlineLevel="0" collapsed="false">
      <c r="A15" s="1"/>
      <c r="B15" s="108" t="s">
        <v>505</v>
      </c>
      <c r="C15" s="125" t="n">
        <v>45797</v>
      </c>
      <c r="D15" s="126" t="s">
        <v>125</v>
      </c>
      <c r="E15" s="126" t="s">
        <v>506</v>
      </c>
      <c r="F15" s="107" t="n">
        <v>6600</v>
      </c>
      <c r="G15" s="108" t="s">
        <v>112</v>
      </c>
      <c r="H15" s="109" t="n">
        <f aca="false">F15*IFERROR(INDEX(Settings_FX!$C$16:$I$27,MATCH(TEXT(C15,"mmm-yy"),Settings_FX!$B$16:$B$27,0),MATCH(G15,Settings_FX!$C$15:$I$15,0)),1)</f>
        <v>6600</v>
      </c>
      <c r="I15" s="107" t="n">
        <v>6600</v>
      </c>
      <c r="J15" s="109" t="n">
        <f aca="false">H15-(I15*IFERROR(INDEX(Settings_FX!$C$16:$I$27,MATCH(TEXT(C15,"mmm-yy"),Settings_FX!$B$16:$B$27,0),MATCH(G15,Settings_FX!$C$15:$I$15,0)),1))</f>
        <v>0</v>
      </c>
      <c r="K15" s="108" t="s">
        <v>368</v>
      </c>
      <c r="L15" s="110" t="str">
        <f aca="false">TEXT(C15,"mmm-yy")</f>
        <v>May-25</v>
      </c>
      <c r="M15" s="111" t="s">
        <v>142</v>
      </c>
      <c r="N15" s="1"/>
    </row>
    <row r="16" customFormat="false" ht="19.5" hidden="false" customHeight="true" outlineLevel="0" collapsed="false">
      <c r="A16" s="1"/>
      <c r="B16" s="103" t="s">
        <v>507</v>
      </c>
      <c r="C16" s="123" t="n">
        <v>45823</v>
      </c>
      <c r="D16" s="124" t="s">
        <v>113</v>
      </c>
      <c r="E16" s="124" t="s">
        <v>419</v>
      </c>
      <c r="F16" s="102" t="n">
        <v>9500</v>
      </c>
      <c r="G16" s="103" t="s">
        <v>109</v>
      </c>
      <c r="H16" s="104" t="n">
        <f aca="false">F16*IFERROR(INDEX(Settings_FX!$C$16:$I$27,MATCH(TEXT(C16,"mmm-yy"),Settings_FX!$B$16:$B$27,0),MATCH(G16,Settings_FX!$C$15:$I$15,0)),1)</f>
        <v>2586.85</v>
      </c>
      <c r="I16" s="102" t="n">
        <v>5000</v>
      </c>
      <c r="J16" s="104" t="n">
        <f aca="false">H16-(I16*IFERROR(INDEX(Settings_FX!$C$16:$I$27,MATCH(TEXT(C16,"mmm-yy"),Settings_FX!$B$16:$B$27,0),MATCH(G16,Settings_FX!$C$15:$I$15,0)),1))</f>
        <v>1225.35</v>
      </c>
      <c r="K16" s="103" t="s">
        <v>362</v>
      </c>
      <c r="L16" s="105" t="str">
        <f aca="false">TEXT(C16,"mmm-yy")</f>
        <v>Jun-25</v>
      </c>
      <c r="M16" s="70" t="s">
        <v>141</v>
      </c>
      <c r="N16" s="1"/>
    </row>
    <row r="17" customFormat="false" ht="19.5" hidden="false" customHeight="true" outlineLevel="0" collapsed="false">
      <c r="A17" s="1"/>
      <c r="B17" s="108" t="s">
        <v>508</v>
      </c>
      <c r="C17" s="125" t="n">
        <v>45836</v>
      </c>
      <c r="D17" s="126" t="s">
        <v>117</v>
      </c>
      <c r="E17" s="126" t="s">
        <v>401</v>
      </c>
      <c r="F17" s="107" t="n">
        <v>5800</v>
      </c>
      <c r="G17" s="108" t="s">
        <v>112</v>
      </c>
      <c r="H17" s="109" t="n">
        <f aca="false">F17*IFERROR(INDEX(Settings_FX!$C$16:$I$27,MATCH(TEXT(C17,"mmm-yy"),Settings_FX!$B$16:$B$27,0),MATCH(G17,Settings_FX!$C$15:$I$15,0)),1)</f>
        <v>5800</v>
      </c>
      <c r="I17" s="107" t="n">
        <v>5800</v>
      </c>
      <c r="J17" s="109" t="n">
        <f aca="false">H17-(I17*IFERROR(INDEX(Settings_FX!$C$16:$I$27,MATCH(TEXT(C17,"mmm-yy"),Settings_FX!$B$16:$B$27,0),MATCH(G17,Settings_FX!$C$15:$I$15,0)),1))</f>
        <v>0</v>
      </c>
      <c r="K17" s="108" t="s">
        <v>362</v>
      </c>
      <c r="L17" s="110" t="str">
        <f aca="false">TEXT(C17,"mmm-yy")</f>
        <v>Jun-25</v>
      </c>
      <c r="M17" s="111" t="s">
        <v>142</v>
      </c>
      <c r="N17" s="1"/>
    </row>
    <row r="18" customFormat="false" ht="19.5" hidden="false" customHeight="true" outlineLevel="0" collapsed="false">
      <c r="A18" s="1"/>
      <c r="B18" s="103" t="s">
        <v>509</v>
      </c>
      <c r="C18" s="123" t="n">
        <v>45848</v>
      </c>
      <c r="D18" s="124" t="s">
        <v>126</v>
      </c>
      <c r="E18" s="124" t="s">
        <v>405</v>
      </c>
      <c r="F18" s="102" t="n">
        <v>13500</v>
      </c>
      <c r="G18" s="103" t="s">
        <v>121</v>
      </c>
      <c r="H18" s="104" t="n">
        <f aca="false">F18*IFERROR(INDEX(Settings_FX!$C$16:$I$27,MATCH(TEXT(C18,"mmm-yy"),Settings_FX!$B$16:$B$27,0),MATCH(G18,Settings_FX!$C$15:$I$15,0)),1)</f>
        <v>10050.75</v>
      </c>
      <c r="I18" s="102" t="n">
        <v>8000</v>
      </c>
      <c r="J18" s="104" t="n">
        <f aca="false">H18-(I18*IFERROR(INDEX(Settings_FX!$C$16:$I$27,MATCH(TEXT(C18,"mmm-yy"),Settings_FX!$B$16:$B$27,0),MATCH(G18,Settings_FX!$C$15:$I$15,0)),1))</f>
        <v>4094.75</v>
      </c>
      <c r="K18" s="103" t="s">
        <v>368</v>
      </c>
      <c r="L18" s="105" t="str">
        <f aca="false">TEXT(C18,"mmm-yy")</f>
        <v>Jul-25</v>
      </c>
      <c r="M18" s="70" t="s">
        <v>141</v>
      </c>
      <c r="N18" s="1"/>
    </row>
    <row r="19" customFormat="false" ht="19.5" hidden="false" customHeight="true" outlineLevel="0" collapsed="false">
      <c r="A19" s="1"/>
      <c r="B19" s="117" t="s">
        <v>510</v>
      </c>
      <c r="C19" s="128" t="n">
        <v>45874</v>
      </c>
      <c r="D19" s="129" t="s">
        <v>115</v>
      </c>
      <c r="E19" s="129" t="s">
        <v>511</v>
      </c>
      <c r="F19" s="116" t="n">
        <v>8500</v>
      </c>
      <c r="G19" s="117" t="s">
        <v>109</v>
      </c>
      <c r="H19" s="118" t="n">
        <f aca="false">F19*IFERROR(INDEX(Settings_FX!$C$16:$I$27,MATCH(TEXT(C19,"mmm-yy"),Settings_FX!$B$16:$B$27,0),MATCH(G19,Settings_FX!$C$15:$I$15,0)),1)</f>
        <v>2314.55</v>
      </c>
      <c r="I19" s="116" t="n">
        <v>0</v>
      </c>
      <c r="J19" s="118" t="n">
        <f aca="false">H19-(I19*IFERROR(INDEX(Settings_FX!$C$16:$I$27,MATCH(TEXT(C19,"mmm-yy"),Settings_FX!$B$16:$B$27,0),MATCH(G19,Settings_FX!$C$15:$I$15,0)),1))</f>
        <v>2314.55</v>
      </c>
      <c r="K19" s="117" t="s">
        <v>362</v>
      </c>
      <c r="L19" s="119" t="str">
        <f aca="false">TEXT(C19,"mmm-yy")</f>
        <v>Aug-25</v>
      </c>
      <c r="M19" s="121" t="s">
        <v>143</v>
      </c>
      <c r="N19" s="1"/>
    </row>
    <row r="20" customFormat="false" ht="19.5" hidden="false" customHeight="true" outlineLevel="0" collapsed="false">
      <c r="A20" s="1"/>
      <c r="B20" s="103" t="s">
        <v>512</v>
      </c>
      <c r="C20" s="123" t="n">
        <v>45915</v>
      </c>
      <c r="D20" s="124" t="s">
        <v>116</v>
      </c>
      <c r="E20" s="124" t="s">
        <v>513</v>
      </c>
      <c r="F20" s="102" t="n">
        <v>9200</v>
      </c>
      <c r="G20" s="103" t="s">
        <v>112</v>
      </c>
      <c r="H20" s="104" t="n">
        <f aca="false">F20*IFERROR(INDEX(Settings_FX!$C$16:$I$27,MATCH(TEXT(C20,"mmm-yy"),Settings_FX!$B$16:$B$27,0),MATCH(G20,Settings_FX!$C$15:$I$15,0)),1)</f>
        <v>9200</v>
      </c>
      <c r="I20" s="102" t="n">
        <v>0</v>
      </c>
      <c r="J20" s="104" t="n">
        <f aca="false">H20-(I20*IFERROR(INDEX(Settings_FX!$C$16:$I$27,MATCH(TEXT(C20,"mmm-yy"),Settings_FX!$B$16:$B$27,0),MATCH(G20,Settings_FX!$C$15:$I$15,0)),1))</f>
        <v>9200</v>
      </c>
      <c r="K20" s="103" t="s">
        <v>362</v>
      </c>
      <c r="L20" s="105" t="str">
        <f aca="false">TEXT(C20,"mmm-yy")</f>
        <v>Sep-25</v>
      </c>
      <c r="M20" s="66" t="s">
        <v>138</v>
      </c>
      <c r="N20" s="1"/>
    </row>
    <row r="21" customFormat="false" ht="19.5" hidden="false" customHeight="true" outlineLevel="0" collapsed="false">
      <c r="A21" s="1"/>
      <c r="B21" s="108" t="s">
        <v>514</v>
      </c>
      <c r="C21" s="125" t="n">
        <v>45938</v>
      </c>
      <c r="D21" s="126" t="s">
        <v>127</v>
      </c>
      <c r="E21" s="126" t="s">
        <v>433</v>
      </c>
      <c r="F21" s="107" t="n">
        <v>11500</v>
      </c>
      <c r="G21" s="108" t="s">
        <v>112</v>
      </c>
      <c r="H21" s="109" t="n">
        <f aca="false">F21*IFERROR(INDEX(Settings_FX!$C$16:$I$27,MATCH(TEXT(C21,"mmm-yy"),Settings_FX!$B$16:$B$27,0),MATCH(G21,Settings_FX!$C$15:$I$15,0)),1)</f>
        <v>11500</v>
      </c>
      <c r="I21" s="107" t="n">
        <v>0</v>
      </c>
      <c r="J21" s="109" t="n">
        <f aca="false">H21-(I21*IFERROR(INDEX(Settings_FX!$C$16:$I$27,MATCH(TEXT(C21,"mmm-yy"),Settings_FX!$B$16:$B$27,0),MATCH(G21,Settings_FX!$C$15:$I$15,0)),1))</f>
        <v>11500</v>
      </c>
      <c r="K21" s="108" t="s">
        <v>368</v>
      </c>
      <c r="L21" s="110" t="str">
        <f aca="false">TEXT(C21,"mmm-yy")</f>
        <v>Oct-25</v>
      </c>
      <c r="M21" s="68" t="s">
        <v>139</v>
      </c>
      <c r="N21" s="1"/>
    </row>
    <row r="22" customFormat="false" ht="19.5" hidden="false" customHeight="true" outlineLevel="0" collapsed="false">
      <c r="A22" s="1"/>
      <c r="B22" s="103" t="s">
        <v>515</v>
      </c>
      <c r="C22" s="123" t="n">
        <v>45952</v>
      </c>
      <c r="D22" s="124" t="s">
        <v>108</v>
      </c>
      <c r="E22" s="124" t="s">
        <v>516</v>
      </c>
      <c r="F22" s="102" t="n">
        <v>4500</v>
      </c>
      <c r="G22" s="103" t="s">
        <v>109</v>
      </c>
      <c r="H22" s="104" t="n">
        <f aca="false">F22*IFERROR(INDEX(Settings_FX!$C$16:$I$27,MATCH(TEXT(C22,"mmm-yy"),Settings_FX!$B$16:$B$27,0),MATCH(G22,Settings_FX!$C$15:$I$15,0)),1)</f>
        <v>1225.35</v>
      </c>
      <c r="I22" s="102" t="n">
        <v>0</v>
      </c>
      <c r="J22" s="104" t="n">
        <f aca="false">H22-(I22*IFERROR(INDEX(Settings_FX!$C$16:$I$27,MATCH(TEXT(C22,"mmm-yy"),Settings_FX!$B$16:$B$27,0),MATCH(G22,Settings_FX!$C$15:$I$15,0)),1))</f>
        <v>1225.35</v>
      </c>
      <c r="K22" s="103" t="s">
        <v>362</v>
      </c>
      <c r="L22" s="105" t="str">
        <f aca="false">TEXT(C22,"mmm-yy")</f>
        <v>Oct-25</v>
      </c>
      <c r="M22" s="69" t="s">
        <v>164</v>
      </c>
      <c r="N22" s="1"/>
    </row>
    <row r="23" customFormat="false" ht="19.5" hidden="false" customHeight="true" outlineLevel="0" collapsed="false">
      <c r="A23" s="1"/>
      <c r="B23" s="108" t="s">
        <v>517</v>
      </c>
      <c r="C23" s="125" t="n">
        <v>45966</v>
      </c>
      <c r="D23" s="126" t="s">
        <v>123</v>
      </c>
      <c r="E23" s="126" t="s">
        <v>518</v>
      </c>
      <c r="F23" s="107" t="n">
        <v>6600</v>
      </c>
      <c r="G23" s="108" t="s">
        <v>121</v>
      </c>
      <c r="H23" s="109" t="n">
        <f aca="false">F23*IFERROR(INDEX(Settings_FX!$C$16:$I$27,MATCH(TEXT(C23,"mmm-yy"),Settings_FX!$B$16:$B$27,0),MATCH(G23,Settings_FX!$C$15:$I$15,0)),1)</f>
        <v>4926.9</v>
      </c>
      <c r="I23" s="107" t="n">
        <v>0</v>
      </c>
      <c r="J23" s="109" t="n">
        <f aca="false">H23-(I23*IFERROR(INDEX(Settings_FX!$C$16:$I$27,MATCH(TEXT(C23,"mmm-yy"),Settings_FX!$B$16:$B$27,0),MATCH(G23,Settings_FX!$C$15:$I$15,0)),1))</f>
        <v>4926.9</v>
      </c>
      <c r="K23" s="108" t="s">
        <v>368</v>
      </c>
      <c r="L23" s="110" t="str">
        <f aca="false">TEXT(C23,"mmm-yy")</f>
        <v>Nov-25</v>
      </c>
      <c r="M23" s="69" t="s">
        <v>164</v>
      </c>
      <c r="N23" s="1"/>
    </row>
    <row r="24" customFormat="false" ht="19.5" hidden="false" customHeight="true" outlineLevel="0" collapsed="false">
      <c r="A24" s="1"/>
      <c r="B24" s="103" t="s">
        <v>519</v>
      </c>
      <c r="C24" s="123" t="n">
        <v>45979</v>
      </c>
      <c r="D24" s="124" t="s">
        <v>111</v>
      </c>
      <c r="E24" s="124" t="s">
        <v>520</v>
      </c>
      <c r="F24" s="102" t="n">
        <v>9500</v>
      </c>
      <c r="G24" s="103" t="s">
        <v>112</v>
      </c>
      <c r="H24" s="104" t="n">
        <f aca="false">F24*IFERROR(INDEX(Settings_FX!$C$16:$I$27,MATCH(TEXT(C24,"mmm-yy"),Settings_FX!$B$16:$B$27,0),MATCH(G24,Settings_FX!$C$15:$I$15,0)),1)</f>
        <v>9500</v>
      </c>
      <c r="I24" s="102" t="n">
        <v>0</v>
      </c>
      <c r="J24" s="104" t="n">
        <f aca="false">H24-(I24*IFERROR(INDEX(Settings_FX!$C$16:$I$27,MATCH(TEXT(C24,"mmm-yy"),Settings_FX!$B$16:$B$27,0),MATCH(G24,Settings_FX!$C$15:$I$15,0)),1))</f>
        <v>9500</v>
      </c>
      <c r="K24" s="103" t="s">
        <v>362</v>
      </c>
      <c r="L24" s="105" t="str">
        <f aca="false">TEXT(C24,"mmm-yy")</f>
        <v>Nov-25</v>
      </c>
      <c r="M24" s="68" t="s">
        <v>139</v>
      </c>
      <c r="N24" s="1"/>
    </row>
    <row r="25" customFormat="false" ht="19.5" hidden="false" customHeight="true" outlineLevel="0" collapsed="false">
      <c r="A25" s="1"/>
      <c r="B25" s="108" t="s">
        <v>521</v>
      </c>
      <c r="C25" s="125" t="n">
        <v>45994</v>
      </c>
      <c r="D25" s="126" t="s">
        <v>120</v>
      </c>
      <c r="E25" s="126" t="s">
        <v>522</v>
      </c>
      <c r="F25" s="107" t="n">
        <v>4200</v>
      </c>
      <c r="G25" s="108" t="s">
        <v>121</v>
      </c>
      <c r="H25" s="109" t="n">
        <f aca="false">F25*IFERROR(INDEX(Settings_FX!$C$16:$I$27,MATCH(TEXT(C25,"mmm-yy"),Settings_FX!$B$16:$B$27,0),MATCH(G25,Settings_FX!$C$15:$I$15,0)),1)</f>
        <v>3137.4</v>
      </c>
      <c r="I25" s="107" t="n">
        <v>0</v>
      </c>
      <c r="J25" s="109" t="n">
        <f aca="false">H25-(I25*IFERROR(INDEX(Settings_FX!$C$16:$I$27,MATCH(TEXT(C25,"mmm-yy"),Settings_FX!$B$16:$B$27,0),MATCH(G25,Settings_FX!$C$15:$I$15,0)),1))</f>
        <v>3137.4</v>
      </c>
      <c r="K25" s="108" t="s">
        <v>368</v>
      </c>
      <c r="L25" s="110" t="str">
        <f aca="false">TEXT(C25,"mmm-yy")</f>
        <v>Dec-25</v>
      </c>
      <c r="M25" s="66" t="s">
        <v>138</v>
      </c>
      <c r="N25" s="1"/>
    </row>
    <row r="26" customFormat="false" ht="19.5" hidden="false" customHeight="true" outlineLevel="0" collapsed="false">
      <c r="A26" s="1"/>
      <c r="B26" s="117" t="s">
        <v>523</v>
      </c>
      <c r="C26" s="128" t="n">
        <v>46006</v>
      </c>
      <c r="D26" s="129" t="s">
        <v>110</v>
      </c>
      <c r="E26" s="129" t="s">
        <v>524</v>
      </c>
      <c r="F26" s="116" t="n">
        <v>3500</v>
      </c>
      <c r="G26" s="117" t="s">
        <v>109</v>
      </c>
      <c r="H26" s="118" t="n">
        <f aca="false">F26*IFERROR(INDEX(Settings_FX!$C$16:$I$27,MATCH(TEXT(C26,"mmm-yy"),Settings_FX!$B$16:$B$27,0),MATCH(G26,Settings_FX!$C$15:$I$15,0)),1)</f>
        <v>953.05</v>
      </c>
      <c r="I26" s="116" t="n">
        <v>0</v>
      </c>
      <c r="J26" s="118" t="n">
        <f aca="false">H26-(I26*IFERROR(INDEX(Settings_FX!$C$16:$I$27,MATCH(TEXT(C26,"mmm-yy"),Settings_FX!$B$16:$B$27,0),MATCH(G26,Settings_FX!$C$15:$I$15,0)),1))</f>
        <v>953.05</v>
      </c>
      <c r="K26" s="117" t="s">
        <v>362</v>
      </c>
      <c r="L26" s="119" t="str">
        <f aca="false">TEXT(C26,"mmm-yy")</f>
        <v>Dec-25</v>
      </c>
      <c r="M26" s="121" t="s">
        <v>143</v>
      </c>
      <c r="N26" s="1"/>
    </row>
    <row r="27" customFormat="false" ht="24" hidden="false" customHeight="true" outlineLevel="0" collapsed="false">
      <c r="A27" s="1"/>
      <c r="B27" s="40" t="s">
        <v>146</v>
      </c>
      <c r="C27" s="56"/>
      <c r="D27" s="56"/>
      <c r="E27" s="56"/>
      <c r="F27" s="55" t="n">
        <f aca="false">SUM(F6:F26)</f>
        <v>189200</v>
      </c>
      <c r="G27" s="56"/>
      <c r="H27" s="55" t="n">
        <f aca="false">SUM(H6:H26)</f>
        <v>134873.99</v>
      </c>
      <c r="I27" s="55" t="n">
        <f aca="false">SUM(I6:I26)</f>
        <v>119900</v>
      </c>
      <c r="J27" s="55" t="n">
        <f aca="false">SUM(J6:J26)</f>
        <v>48567.49</v>
      </c>
      <c r="K27" s="56"/>
      <c r="L27" s="56"/>
      <c r="M27" s="56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3">
    <mergeCell ref="B2:L2"/>
    <mergeCell ref="B3:L3"/>
    <mergeCell ref="B4:L4"/>
  </mergeCells>
  <conditionalFormatting sqref="J6:J26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23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525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</row>
    <row r="3" customFormat="false" ht="18" hidden="false" customHeight="true" outlineLevel="0" collapsed="false">
      <c r="A3" s="1"/>
      <c r="B3" s="3" t="s">
        <v>526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3" t="s">
        <v>352</v>
      </c>
      <c r="C5" s="23" t="s">
        <v>218</v>
      </c>
      <c r="D5" s="23" t="s">
        <v>527</v>
      </c>
      <c r="E5" s="23" t="s">
        <v>449</v>
      </c>
      <c r="F5" s="23" t="s">
        <v>450</v>
      </c>
      <c r="G5" s="23" t="s">
        <v>103</v>
      </c>
      <c r="H5" s="23" t="s">
        <v>354</v>
      </c>
      <c r="I5" s="23" t="s">
        <v>359</v>
      </c>
      <c r="J5" s="23" t="s">
        <v>61</v>
      </c>
      <c r="K5" s="1"/>
      <c r="L5" s="1"/>
      <c r="M5" s="1"/>
      <c r="N5" s="1"/>
    </row>
    <row r="6" customFormat="false" ht="19.5" hidden="false" customHeight="true" outlineLevel="0" collapsed="false">
      <c r="A6" s="1"/>
      <c r="B6" s="123" t="n">
        <v>45660</v>
      </c>
      <c r="C6" s="124" t="s">
        <v>528</v>
      </c>
      <c r="D6" s="124" t="s">
        <v>529</v>
      </c>
      <c r="E6" s="102" t="n">
        <v>0</v>
      </c>
      <c r="F6" s="102" t="n">
        <v>28145.5</v>
      </c>
      <c r="G6" s="103" t="s">
        <v>109</v>
      </c>
      <c r="H6" s="104" t="n">
        <f aca="false">(F6-E6)*IFERROR(INDEX(Settings_FX!$C$16:$I$27,MATCH(TEXT(B6,"mmm-yy"),Settings_FX!$B$16:$B$27,0),MATCH(G6,Settings_FX!$C$15:$I$15,0)),1)</f>
        <v>7664.01965</v>
      </c>
      <c r="I6" s="103" t="s">
        <v>362</v>
      </c>
      <c r="J6" s="105" t="str">
        <f aca="false">TEXT(B6,"mmm-yy")</f>
        <v>Jan-25</v>
      </c>
      <c r="K6" s="1"/>
      <c r="L6" s="1"/>
      <c r="M6" s="1"/>
      <c r="N6" s="1"/>
    </row>
    <row r="7" customFormat="false" ht="19.5" hidden="false" customHeight="true" outlineLevel="0" collapsed="false">
      <c r="A7" s="1"/>
      <c r="B7" s="125" t="n">
        <v>45662</v>
      </c>
      <c r="C7" s="126" t="s">
        <v>530</v>
      </c>
      <c r="D7" s="126" t="s">
        <v>531</v>
      </c>
      <c r="E7" s="107" t="n">
        <v>0</v>
      </c>
      <c r="F7" s="107" t="n">
        <v>6602.2</v>
      </c>
      <c r="G7" s="108" t="s">
        <v>112</v>
      </c>
      <c r="H7" s="109" t="n">
        <f aca="false">(F7-E7)*IFERROR(INDEX(Settings_FX!$C$16:$I$27,MATCH(TEXT(B7,"mmm-yy"),Settings_FX!$B$16:$B$27,0),MATCH(G7,Settings_FX!$C$15:$I$15,0)),1)</f>
        <v>6602.2</v>
      </c>
      <c r="I7" s="108" t="s">
        <v>368</v>
      </c>
      <c r="J7" s="110" t="str">
        <f aca="false">TEXT(B7,"mmm-yy")</f>
        <v>Jan-25</v>
      </c>
      <c r="K7" s="1"/>
      <c r="L7" s="1"/>
      <c r="M7" s="1"/>
      <c r="N7" s="1"/>
    </row>
    <row r="8" customFormat="false" ht="19.5" hidden="false" customHeight="true" outlineLevel="0" collapsed="false">
      <c r="A8" s="1"/>
      <c r="B8" s="123" t="n">
        <v>45667</v>
      </c>
      <c r="C8" s="124" t="s">
        <v>532</v>
      </c>
      <c r="D8" s="124" t="s">
        <v>529</v>
      </c>
      <c r="E8" s="102" t="n">
        <v>100</v>
      </c>
      <c r="F8" s="102" t="n">
        <v>0</v>
      </c>
      <c r="G8" s="103" t="s">
        <v>109</v>
      </c>
      <c r="H8" s="104" t="n">
        <f aca="false">(F8-E8)*IFERROR(INDEX(Settings_FX!$C$16:$I$27,MATCH(TEXT(B8,"mmm-yy"),Settings_FX!$B$16:$B$27,0),MATCH(G8,Settings_FX!$C$15:$I$15,0)),1)</f>
        <v>-27.23</v>
      </c>
      <c r="I8" s="103" t="s">
        <v>362</v>
      </c>
      <c r="J8" s="105" t="str">
        <f aca="false">TEXT(B8,"mmm-yy")</f>
        <v>Jan-25</v>
      </c>
      <c r="K8" s="1"/>
      <c r="L8" s="1"/>
      <c r="M8" s="1"/>
      <c r="N8" s="1"/>
    </row>
    <row r="9" customFormat="false" ht="19.5" hidden="false" customHeight="true" outlineLevel="0" collapsed="false">
      <c r="A9" s="1"/>
      <c r="B9" s="125" t="n">
        <v>45669</v>
      </c>
      <c r="C9" s="126" t="s">
        <v>533</v>
      </c>
      <c r="D9" s="126" t="s">
        <v>531</v>
      </c>
      <c r="E9" s="107" t="n">
        <v>35</v>
      </c>
      <c r="F9" s="107" t="n">
        <v>0</v>
      </c>
      <c r="G9" s="108" t="s">
        <v>121</v>
      </c>
      <c r="H9" s="109" t="n">
        <f aca="false">(F9-E9)*IFERROR(INDEX(Settings_FX!$C$16:$I$27,MATCH(TEXT(B9,"mmm-yy"),Settings_FX!$B$16:$B$27,0),MATCH(G9,Settings_FX!$C$15:$I$15,0)),1)</f>
        <v>-26.005</v>
      </c>
      <c r="I9" s="108" t="s">
        <v>368</v>
      </c>
      <c r="J9" s="110" t="str">
        <f aca="false">TEXT(B9,"mmm-yy")</f>
        <v>Jan-25</v>
      </c>
      <c r="K9" s="1"/>
      <c r="L9" s="1"/>
      <c r="M9" s="1"/>
      <c r="N9" s="1"/>
    </row>
    <row r="10" customFormat="false" ht="19.5" hidden="false" customHeight="true" outlineLevel="0" collapsed="false">
      <c r="A10" s="1"/>
      <c r="B10" s="123" t="n">
        <v>45691</v>
      </c>
      <c r="C10" s="124" t="s">
        <v>534</v>
      </c>
      <c r="D10" s="124" t="s">
        <v>529</v>
      </c>
      <c r="E10" s="102" t="n">
        <v>0</v>
      </c>
      <c r="F10" s="102" t="n">
        <v>13475</v>
      </c>
      <c r="G10" s="103" t="s">
        <v>109</v>
      </c>
      <c r="H10" s="104" t="n">
        <f aca="false">(F10-E10)*IFERROR(INDEX(Settings_FX!$C$16:$I$27,MATCH(TEXT(B10,"mmm-yy"),Settings_FX!$B$16:$B$27,0),MATCH(G10,Settings_FX!$C$15:$I$15,0)),1)</f>
        <v>3669.2425</v>
      </c>
      <c r="I10" s="103" t="s">
        <v>362</v>
      </c>
      <c r="J10" s="105" t="str">
        <f aca="false">TEXT(B10,"mmm-yy")</f>
        <v>Feb-25</v>
      </c>
      <c r="K10" s="1"/>
      <c r="L10" s="1"/>
      <c r="M10" s="1"/>
      <c r="N10" s="1"/>
    </row>
    <row r="11" customFormat="false" ht="19.5" hidden="false" customHeight="true" outlineLevel="0" collapsed="false">
      <c r="A11" s="1"/>
      <c r="B11" s="125" t="n">
        <v>45693</v>
      </c>
      <c r="C11" s="126" t="s">
        <v>535</v>
      </c>
      <c r="D11" s="126" t="s">
        <v>531</v>
      </c>
      <c r="E11" s="107" t="n">
        <v>0</v>
      </c>
      <c r="F11" s="107" t="n">
        <v>11651.7</v>
      </c>
      <c r="G11" s="108" t="s">
        <v>112</v>
      </c>
      <c r="H11" s="109" t="n">
        <f aca="false">(F11-E11)*IFERROR(INDEX(Settings_FX!$C$16:$I$27,MATCH(TEXT(B11,"mmm-yy"),Settings_FX!$B$16:$B$27,0),MATCH(G11,Settings_FX!$C$15:$I$15,0)),1)</f>
        <v>11651.7</v>
      </c>
      <c r="I11" s="108" t="s">
        <v>368</v>
      </c>
      <c r="J11" s="110" t="str">
        <f aca="false">TEXT(B11,"mmm-yy")</f>
        <v>Feb-25</v>
      </c>
      <c r="K11" s="1"/>
      <c r="L11" s="1"/>
      <c r="M11" s="1"/>
      <c r="N11" s="1"/>
    </row>
    <row r="12" customFormat="false" ht="19.5" hidden="false" customHeight="true" outlineLevel="0" collapsed="false">
      <c r="A12" s="1"/>
      <c r="B12" s="123" t="n">
        <v>45698</v>
      </c>
      <c r="C12" s="124" t="s">
        <v>532</v>
      </c>
      <c r="D12" s="124" t="s">
        <v>529</v>
      </c>
      <c r="E12" s="102" t="n">
        <v>100</v>
      </c>
      <c r="F12" s="102" t="n">
        <v>0</v>
      </c>
      <c r="G12" s="103" t="s">
        <v>109</v>
      </c>
      <c r="H12" s="104" t="n">
        <f aca="false">(F12-E12)*IFERROR(INDEX(Settings_FX!$C$16:$I$27,MATCH(TEXT(B12,"mmm-yy"),Settings_FX!$B$16:$B$27,0),MATCH(G12,Settings_FX!$C$15:$I$15,0)),1)</f>
        <v>-27.23</v>
      </c>
      <c r="I12" s="103" t="s">
        <v>362</v>
      </c>
      <c r="J12" s="105" t="str">
        <f aca="false">TEXT(B12,"mmm-yy")</f>
        <v>Feb-25</v>
      </c>
      <c r="K12" s="1"/>
      <c r="L12" s="1"/>
      <c r="M12" s="1"/>
      <c r="N12" s="1"/>
    </row>
    <row r="13" customFormat="false" ht="19.5" hidden="false" customHeight="true" outlineLevel="0" collapsed="false">
      <c r="A13" s="1"/>
      <c r="B13" s="125" t="n">
        <v>45719</v>
      </c>
      <c r="C13" s="126" t="s">
        <v>536</v>
      </c>
      <c r="D13" s="126" t="s">
        <v>529</v>
      </c>
      <c r="E13" s="107" t="n">
        <v>0</v>
      </c>
      <c r="F13" s="107" t="n">
        <v>16833.3</v>
      </c>
      <c r="G13" s="108" t="s">
        <v>109</v>
      </c>
      <c r="H13" s="109" t="n">
        <f aca="false">(F13-E13)*IFERROR(INDEX(Settings_FX!$C$16:$I$27,MATCH(TEXT(B13,"mmm-yy"),Settings_FX!$B$16:$B$27,0),MATCH(G13,Settings_FX!$C$15:$I$15,0)),1)</f>
        <v>4583.70759</v>
      </c>
      <c r="I13" s="108" t="s">
        <v>362</v>
      </c>
      <c r="J13" s="110" t="str">
        <f aca="false">TEXT(B13,"mmm-yy")</f>
        <v>Mar-25</v>
      </c>
      <c r="K13" s="1"/>
      <c r="L13" s="1"/>
      <c r="M13" s="1"/>
      <c r="N13" s="1"/>
    </row>
    <row r="14" customFormat="false" ht="19.5" hidden="false" customHeight="true" outlineLevel="0" collapsed="false">
      <c r="A14" s="1"/>
      <c r="B14" s="123" t="n">
        <v>45721</v>
      </c>
      <c r="C14" s="124" t="s">
        <v>537</v>
      </c>
      <c r="D14" s="124" t="s">
        <v>531</v>
      </c>
      <c r="E14" s="102" t="n">
        <v>0</v>
      </c>
      <c r="F14" s="102" t="n">
        <v>15049.9</v>
      </c>
      <c r="G14" s="103" t="s">
        <v>112</v>
      </c>
      <c r="H14" s="104" t="n">
        <f aca="false">(F14-E14)*IFERROR(INDEX(Settings_FX!$C$16:$I$27,MATCH(TEXT(B14,"mmm-yy"),Settings_FX!$B$16:$B$27,0),MATCH(G14,Settings_FX!$C$15:$I$15,0)),1)</f>
        <v>15049.9</v>
      </c>
      <c r="I14" s="103" t="s">
        <v>368</v>
      </c>
      <c r="J14" s="105" t="str">
        <f aca="false">TEXT(B14,"mmm-yy")</f>
        <v>Mar-25</v>
      </c>
      <c r="K14" s="1"/>
      <c r="L14" s="1"/>
      <c r="M14" s="1"/>
      <c r="N14" s="1"/>
    </row>
    <row r="15" customFormat="false" ht="19.5" hidden="false" customHeight="true" outlineLevel="0" collapsed="false">
      <c r="A15" s="1"/>
      <c r="B15" s="125" t="n">
        <v>45728</v>
      </c>
      <c r="C15" s="126" t="s">
        <v>532</v>
      </c>
      <c r="D15" s="126" t="s">
        <v>529</v>
      </c>
      <c r="E15" s="107" t="n">
        <v>100</v>
      </c>
      <c r="F15" s="107" t="n">
        <v>0</v>
      </c>
      <c r="G15" s="108" t="s">
        <v>109</v>
      </c>
      <c r="H15" s="109" t="n">
        <f aca="false">(F15-E15)*IFERROR(INDEX(Settings_FX!$C$16:$I$27,MATCH(TEXT(B15,"mmm-yy"),Settings_FX!$B$16:$B$27,0),MATCH(G15,Settings_FX!$C$15:$I$15,0)),1)</f>
        <v>-27.23</v>
      </c>
      <c r="I15" s="108" t="s">
        <v>362</v>
      </c>
      <c r="J15" s="110" t="str">
        <f aca="false">TEXT(B15,"mmm-yy")</f>
        <v>Mar-25</v>
      </c>
      <c r="K15" s="1"/>
      <c r="L15" s="1"/>
      <c r="M15" s="1"/>
      <c r="N15" s="1"/>
    </row>
    <row r="16" customFormat="false" ht="19.5" hidden="false" customHeight="true" outlineLevel="0" collapsed="false">
      <c r="A16" s="1"/>
      <c r="B16" s="123" t="n">
        <v>45750</v>
      </c>
      <c r="C16" s="124" t="s">
        <v>538</v>
      </c>
      <c r="D16" s="124" t="s">
        <v>529</v>
      </c>
      <c r="E16" s="102" t="n">
        <v>0</v>
      </c>
      <c r="F16" s="102" t="n">
        <v>8143.9</v>
      </c>
      <c r="G16" s="103" t="s">
        <v>109</v>
      </c>
      <c r="H16" s="104" t="n">
        <f aca="false">(F16-E16)*IFERROR(INDEX(Settings_FX!$C$16:$I$27,MATCH(TEXT(B16,"mmm-yy"),Settings_FX!$B$16:$B$27,0),MATCH(G16,Settings_FX!$C$15:$I$15,0)),1)</f>
        <v>2217.58397</v>
      </c>
      <c r="I16" s="103" t="s">
        <v>362</v>
      </c>
      <c r="J16" s="105" t="str">
        <f aca="false">TEXT(B16,"mmm-yy")</f>
        <v>Apr-25</v>
      </c>
      <c r="K16" s="1"/>
      <c r="L16" s="1"/>
      <c r="M16" s="1"/>
      <c r="N16" s="1"/>
    </row>
    <row r="17" customFormat="false" ht="19.5" hidden="false" customHeight="true" outlineLevel="0" collapsed="false">
      <c r="A17" s="1"/>
      <c r="B17" s="125" t="n">
        <v>45757</v>
      </c>
      <c r="C17" s="126" t="s">
        <v>532</v>
      </c>
      <c r="D17" s="126" t="s">
        <v>529</v>
      </c>
      <c r="E17" s="107" t="n">
        <v>100</v>
      </c>
      <c r="F17" s="107" t="n">
        <v>0</v>
      </c>
      <c r="G17" s="108" t="s">
        <v>109</v>
      </c>
      <c r="H17" s="109" t="n">
        <f aca="false">(F17-E17)*IFERROR(INDEX(Settings_FX!$C$16:$I$27,MATCH(TEXT(B17,"mmm-yy"),Settings_FX!$B$16:$B$27,0),MATCH(G17,Settings_FX!$C$15:$I$15,0)),1)</f>
        <v>-27.23</v>
      </c>
      <c r="I17" s="108" t="s">
        <v>362</v>
      </c>
      <c r="J17" s="110" t="str">
        <f aca="false">TEXT(B17,"mmm-yy")</f>
        <v>Apr-25</v>
      </c>
      <c r="K17" s="1"/>
      <c r="L17" s="1"/>
      <c r="M17" s="1"/>
      <c r="N17" s="1"/>
    </row>
    <row r="18" customFormat="false" ht="19.5" hidden="false" customHeight="true" outlineLevel="0" collapsed="false">
      <c r="A18" s="1"/>
      <c r="B18" s="123" t="n">
        <v>45780</v>
      </c>
      <c r="C18" s="124" t="s">
        <v>539</v>
      </c>
      <c r="D18" s="124" t="s">
        <v>529</v>
      </c>
      <c r="E18" s="102" t="n">
        <v>0</v>
      </c>
      <c r="F18" s="102" t="n">
        <v>10842.9</v>
      </c>
      <c r="G18" s="103" t="s">
        <v>109</v>
      </c>
      <c r="H18" s="104" t="n">
        <f aca="false">(F18-E18)*IFERROR(INDEX(Settings_FX!$C$16:$I$27,MATCH(TEXT(B18,"mmm-yy"),Settings_FX!$B$16:$B$27,0),MATCH(G18,Settings_FX!$C$15:$I$15,0)),1)</f>
        <v>2952.52167</v>
      </c>
      <c r="I18" s="103" t="s">
        <v>362</v>
      </c>
      <c r="J18" s="105" t="str">
        <f aca="false">TEXT(B18,"mmm-yy")</f>
        <v>May-25</v>
      </c>
      <c r="K18" s="1"/>
      <c r="L18" s="1"/>
      <c r="M18" s="1"/>
      <c r="N18" s="1"/>
    </row>
    <row r="19" customFormat="false" ht="19.5" hidden="false" customHeight="true" outlineLevel="0" collapsed="false">
      <c r="A19" s="1"/>
      <c r="B19" s="125" t="n">
        <v>45782</v>
      </c>
      <c r="C19" s="126" t="s">
        <v>540</v>
      </c>
      <c r="D19" s="126" t="s">
        <v>531</v>
      </c>
      <c r="E19" s="107" t="n">
        <v>0</v>
      </c>
      <c r="F19" s="107" t="n">
        <v>8253.1</v>
      </c>
      <c r="G19" s="108" t="s">
        <v>112</v>
      </c>
      <c r="H19" s="109" t="n">
        <f aca="false">(F19-E19)*IFERROR(INDEX(Settings_FX!$C$16:$I$27,MATCH(TEXT(B19,"mmm-yy"),Settings_FX!$B$16:$B$27,0),MATCH(G19,Settings_FX!$C$15:$I$15,0)),1)</f>
        <v>8253.1</v>
      </c>
      <c r="I19" s="108" t="s">
        <v>368</v>
      </c>
      <c r="J19" s="110" t="str">
        <f aca="false">TEXT(B19,"mmm-yy")</f>
        <v>May-25</v>
      </c>
      <c r="K19" s="1"/>
      <c r="L19" s="1"/>
      <c r="M19" s="1"/>
      <c r="N19" s="1"/>
    </row>
    <row r="20" customFormat="false" ht="19.5" hidden="false" customHeight="true" outlineLevel="0" collapsed="false">
      <c r="A20" s="1"/>
      <c r="B20" s="123" t="n">
        <v>45811</v>
      </c>
      <c r="C20" s="124" t="s">
        <v>541</v>
      </c>
      <c r="D20" s="124" t="s">
        <v>529</v>
      </c>
      <c r="E20" s="102" t="n">
        <v>0</v>
      </c>
      <c r="F20" s="102" t="n">
        <v>34512.8</v>
      </c>
      <c r="G20" s="103" t="s">
        <v>109</v>
      </c>
      <c r="H20" s="104" t="n">
        <f aca="false">(F20-E20)*IFERROR(INDEX(Settings_FX!$C$16:$I$27,MATCH(TEXT(B20,"mmm-yy"),Settings_FX!$B$16:$B$27,0),MATCH(G20,Settings_FX!$C$15:$I$15,0)),1)</f>
        <v>9397.83544</v>
      </c>
      <c r="I20" s="103" t="s">
        <v>362</v>
      </c>
      <c r="J20" s="105" t="str">
        <f aca="false">TEXT(B20,"mmm-yy")</f>
        <v>Jun-25</v>
      </c>
      <c r="K20" s="1"/>
      <c r="L20" s="1"/>
      <c r="M20" s="1"/>
      <c r="N20" s="1"/>
    </row>
    <row r="21" customFormat="false" ht="19.5" hidden="false" customHeight="true" outlineLevel="0" collapsed="false">
      <c r="A21" s="1"/>
      <c r="B21" s="125" t="n">
        <v>45818</v>
      </c>
      <c r="C21" s="126" t="s">
        <v>532</v>
      </c>
      <c r="D21" s="126" t="s">
        <v>529</v>
      </c>
      <c r="E21" s="107" t="n">
        <v>100</v>
      </c>
      <c r="F21" s="107" t="n">
        <v>0</v>
      </c>
      <c r="G21" s="108" t="s">
        <v>109</v>
      </c>
      <c r="H21" s="109" t="n">
        <f aca="false">(F21-E21)*IFERROR(INDEX(Settings_FX!$C$16:$I$27,MATCH(TEXT(B21,"mmm-yy"),Settings_FX!$B$16:$B$27,0),MATCH(G21,Settings_FX!$C$15:$I$15,0)),1)</f>
        <v>-27.23</v>
      </c>
      <c r="I21" s="108" t="s">
        <v>362</v>
      </c>
      <c r="J21" s="110" t="str">
        <f aca="false">TEXT(B21,"mmm-yy")</f>
        <v>Jun-25</v>
      </c>
      <c r="K21" s="1"/>
      <c r="L21" s="1"/>
      <c r="M21" s="1"/>
      <c r="N21" s="1"/>
    </row>
    <row r="22" customFormat="false" ht="19.5" hidden="false" customHeight="true" outlineLevel="0" collapsed="false">
      <c r="A22" s="1"/>
      <c r="B22" s="123" t="n">
        <v>45841</v>
      </c>
      <c r="C22" s="124" t="s">
        <v>542</v>
      </c>
      <c r="D22" s="124" t="s">
        <v>529</v>
      </c>
      <c r="E22" s="102" t="n">
        <v>0</v>
      </c>
      <c r="F22" s="102" t="n">
        <v>18131.7</v>
      </c>
      <c r="G22" s="103" t="s">
        <v>109</v>
      </c>
      <c r="H22" s="104" t="n">
        <f aca="false">(F22-E22)*IFERROR(INDEX(Settings_FX!$C$16:$I$27,MATCH(TEXT(B22,"mmm-yy"),Settings_FX!$B$16:$B$27,0),MATCH(G22,Settings_FX!$C$15:$I$15,0)),1)</f>
        <v>4937.26191</v>
      </c>
      <c r="I22" s="103" t="s">
        <v>362</v>
      </c>
      <c r="J22" s="105" t="str">
        <f aca="false">TEXT(B22,"mmm-yy")</f>
        <v>Jul-25</v>
      </c>
      <c r="K22" s="1"/>
      <c r="L22" s="1"/>
      <c r="M22" s="1"/>
      <c r="N22" s="1"/>
    </row>
    <row r="23" customFormat="false" ht="19.5" hidden="false" customHeight="true" outlineLevel="0" collapsed="false">
      <c r="A23" s="1"/>
      <c r="B23" s="125" t="n">
        <v>45843</v>
      </c>
      <c r="C23" s="126" t="s">
        <v>543</v>
      </c>
      <c r="D23" s="126" t="s">
        <v>531</v>
      </c>
      <c r="E23" s="107" t="n">
        <v>0</v>
      </c>
      <c r="F23" s="107" t="n">
        <v>13092.9</v>
      </c>
      <c r="G23" s="108" t="s">
        <v>121</v>
      </c>
      <c r="H23" s="109" t="n">
        <f aca="false">(F23-E23)*IFERROR(INDEX(Settings_FX!$C$16:$I$27,MATCH(TEXT(B23,"mmm-yy"),Settings_FX!$B$16:$B$27,0),MATCH(G23,Settings_FX!$C$15:$I$15,0)),1)</f>
        <v>9747.66405</v>
      </c>
      <c r="I23" s="108" t="s">
        <v>368</v>
      </c>
      <c r="J23" s="110" t="str">
        <f aca="false">TEXT(B23,"mmm-yy")</f>
        <v>Jul-25</v>
      </c>
      <c r="K23" s="1"/>
      <c r="L23" s="1"/>
      <c r="M23" s="1"/>
      <c r="N23" s="1"/>
    </row>
    <row r="24" customFormat="false" ht="19.5" hidden="false" customHeight="true" outlineLevel="0" collapsed="false">
      <c r="A24" s="1"/>
      <c r="B24" s="123" t="n">
        <v>45872</v>
      </c>
      <c r="C24" s="124" t="s">
        <v>544</v>
      </c>
      <c r="D24" s="124" t="s">
        <v>531</v>
      </c>
      <c r="E24" s="102" t="n">
        <v>0</v>
      </c>
      <c r="F24" s="102" t="n">
        <v>3685.5</v>
      </c>
      <c r="G24" s="103" t="s">
        <v>121</v>
      </c>
      <c r="H24" s="104" t="n">
        <f aca="false">(F24-E24)*IFERROR(INDEX(Settings_FX!$C$16:$I$27,MATCH(TEXT(B24,"mmm-yy"),Settings_FX!$B$16:$B$27,0),MATCH(G24,Settings_FX!$C$15:$I$15,0)),1)</f>
        <v>2745.6975</v>
      </c>
      <c r="I24" s="103" t="s">
        <v>368</v>
      </c>
      <c r="J24" s="105" t="str">
        <f aca="false">TEXT(B24,"mmm-yy")</f>
        <v>Aug-25</v>
      </c>
      <c r="K24" s="1"/>
      <c r="L24" s="1"/>
      <c r="M24" s="1"/>
      <c r="N24" s="1"/>
    </row>
    <row r="25" customFormat="false" ht="19.5" hidden="false" customHeight="true" outlineLevel="0" collapsed="false">
      <c r="A25" s="1"/>
      <c r="B25" s="125" t="n">
        <v>45903</v>
      </c>
      <c r="C25" s="126" t="s">
        <v>545</v>
      </c>
      <c r="D25" s="126" t="s">
        <v>531</v>
      </c>
      <c r="E25" s="107" t="n">
        <v>0</v>
      </c>
      <c r="F25" s="107" t="n">
        <v>10874.8</v>
      </c>
      <c r="G25" s="108" t="s">
        <v>112</v>
      </c>
      <c r="H25" s="109" t="n">
        <f aca="false">(F25-E25)*IFERROR(INDEX(Settings_FX!$C$16:$I$27,MATCH(TEXT(B25,"mmm-yy"),Settings_FX!$B$16:$B$27,0),MATCH(G25,Settings_FX!$C$15:$I$15,0)),1)</f>
        <v>10874.8</v>
      </c>
      <c r="I25" s="108" t="s">
        <v>368</v>
      </c>
      <c r="J25" s="110" t="str">
        <f aca="false">TEXT(B25,"mmm-yy")</f>
        <v>Sep-25</v>
      </c>
      <c r="K25" s="1"/>
      <c r="L25" s="1"/>
      <c r="M25" s="1"/>
      <c r="N25" s="1"/>
    </row>
    <row r="26" customFormat="false" ht="19.5" hidden="false" customHeight="true" outlineLevel="0" collapsed="false">
      <c r="A26" s="1"/>
      <c r="B26" s="123" t="n">
        <v>45910</v>
      </c>
      <c r="C26" s="124" t="s">
        <v>532</v>
      </c>
      <c r="D26" s="124" t="s">
        <v>529</v>
      </c>
      <c r="E26" s="102" t="n">
        <v>100</v>
      </c>
      <c r="F26" s="102" t="n">
        <v>0</v>
      </c>
      <c r="G26" s="103" t="s">
        <v>109</v>
      </c>
      <c r="H26" s="104" t="n">
        <f aca="false">(F26-E26)*IFERROR(INDEX(Settings_FX!$C$16:$I$27,MATCH(TEXT(B26,"mmm-yy"),Settings_FX!$B$16:$B$27,0),MATCH(G26,Settings_FX!$C$15:$I$15,0)),1)</f>
        <v>-27.23</v>
      </c>
      <c r="I26" s="103" t="s">
        <v>362</v>
      </c>
      <c r="J26" s="105" t="str">
        <f aca="false">TEXT(B26,"mmm-yy")</f>
        <v>Sep-25</v>
      </c>
      <c r="K26" s="1"/>
      <c r="L26" s="1"/>
      <c r="M26" s="1"/>
      <c r="N26" s="1"/>
    </row>
    <row r="27" customFormat="false" ht="24" hidden="false" customHeight="true" outlineLevel="0" collapsed="false">
      <c r="A27" s="1"/>
      <c r="B27" s="40" t="s">
        <v>146</v>
      </c>
      <c r="C27" s="56"/>
      <c r="D27" s="56"/>
      <c r="E27" s="55" t="n">
        <f aca="false">SUM(E6:E26)</f>
        <v>635</v>
      </c>
      <c r="F27" s="55" t="n">
        <f aca="false">SUM(F6:F26)</f>
        <v>199295.2</v>
      </c>
      <c r="G27" s="56"/>
      <c r="H27" s="55" t="n">
        <f aca="false">SUM(H6:H26)</f>
        <v>100157.84928</v>
      </c>
      <c r="I27" s="56"/>
      <c r="J27" s="56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P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7.5" hidden="false" customHeight="true" outlineLevel="0" collapsed="false">
      <c r="A2" s="1"/>
      <c r="B2" s="2" t="s">
        <v>546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customFormat="false" ht="18" hidden="false" customHeight="true" outlineLevel="0" collapsed="false">
      <c r="A3" s="1"/>
      <c r="B3" s="3" t="s">
        <v>547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</row>
    <row r="4" customFormat="false" ht="19.5" hidden="false" customHeight="true" outlineLevel="0" collapsed="false">
      <c r="A4" s="1"/>
      <c r="B4" s="127" t="s">
        <v>548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"/>
      <c r="P4" s="1"/>
    </row>
    <row r="5" customFormat="false" ht="31.5" hidden="false" customHeight="true" outlineLevel="0" collapsed="false">
      <c r="A5" s="1"/>
      <c r="B5" s="23" t="s">
        <v>485</v>
      </c>
      <c r="C5" s="23" t="s">
        <v>549</v>
      </c>
      <c r="D5" s="23" t="s">
        <v>550</v>
      </c>
      <c r="E5" s="23" t="s">
        <v>98</v>
      </c>
      <c r="F5" s="23" t="s">
        <v>551</v>
      </c>
      <c r="G5" s="23" t="s">
        <v>172</v>
      </c>
      <c r="H5" s="23" t="s">
        <v>173</v>
      </c>
      <c r="I5" s="23" t="s">
        <v>174</v>
      </c>
      <c r="J5" s="23" t="s">
        <v>103</v>
      </c>
      <c r="K5" s="23" t="s">
        <v>175</v>
      </c>
      <c r="L5" s="23" t="s">
        <v>354</v>
      </c>
      <c r="M5" s="23" t="s">
        <v>359</v>
      </c>
      <c r="N5" s="23" t="s">
        <v>61</v>
      </c>
      <c r="O5" s="1"/>
      <c r="P5" s="1"/>
    </row>
    <row r="6" customFormat="false" ht="19.5" hidden="false" customHeight="true" outlineLevel="0" collapsed="false">
      <c r="A6" s="1"/>
      <c r="B6" s="103" t="s">
        <v>552</v>
      </c>
      <c r="C6" s="123" t="n">
        <v>45662</v>
      </c>
      <c r="D6" s="103" t="s">
        <v>67</v>
      </c>
      <c r="E6" s="124" t="s">
        <v>108</v>
      </c>
      <c r="F6" s="124" t="s">
        <v>553</v>
      </c>
      <c r="G6" s="102" t="n">
        <v>5200</v>
      </c>
      <c r="H6" s="102" t="n">
        <v>450</v>
      </c>
      <c r="I6" s="102" t="n">
        <v>4750</v>
      </c>
      <c r="J6" s="103" t="s">
        <v>112</v>
      </c>
      <c r="K6" s="73" t="n">
        <f aca="false">I6+H6</f>
        <v>5200</v>
      </c>
      <c r="L6" s="104" t="n">
        <f aca="false">K6*IFERROR(INDEX(Settings_FX!$C$16:$I$27,MATCH(TEXT(C6,"mmm-yy"),Settings_FX!$B$16:$B$27,0),MATCH(J6,Settings_FX!$C$15:$I$15,0)),1)</f>
        <v>5200</v>
      </c>
      <c r="M6" s="103" t="s">
        <v>362</v>
      </c>
      <c r="N6" s="105" t="str">
        <f aca="false">TEXT(C6,"mmm-yy")</f>
        <v>Jan-25</v>
      </c>
      <c r="O6" s="1"/>
      <c r="P6" s="1"/>
    </row>
    <row r="7" customFormat="false" ht="19.5" hidden="false" customHeight="true" outlineLevel="0" collapsed="false">
      <c r="A7" s="1"/>
      <c r="B7" s="108" t="s">
        <v>554</v>
      </c>
      <c r="C7" s="125" t="n">
        <v>45665</v>
      </c>
      <c r="D7" s="108" t="s">
        <v>67</v>
      </c>
      <c r="E7" s="126" t="s">
        <v>110</v>
      </c>
      <c r="F7" s="126" t="s">
        <v>555</v>
      </c>
      <c r="G7" s="107" t="n">
        <v>3800</v>
      </c>
      <c r="H7" s="107" t="n">
        <v>300</v>
      </c>
      <c r="I7" s="107" t="n">
        <v>3500</v>
      </c>
      <c r="J7" s="108" t="s">
        <v>112</v>
      </c>
      <c r="K7" s="73" t="n">
        <f aca="false">I7+H7</f>
        <v>3800</v>
      </c>
      <c r="L7" s="109" t="n">
        <f aca="false">K7*IFERROR(INDEX(Settings_FX!$C$16:$I$27,MATCH(TEXT(C7,"mmm-yy"),Settings_FX!$B$16:$B$27,0),MATCH(J7,Settings_FX!$C$15:$I$15,0)),1)</f>
        <v>3800</v>
      </c>
      <c r="M7" s="108" t="s">
        <v>362</v>
      </c>
      <c r="N7" s="110" t="str">
        <f aca="false">TEXT(C7,"mmm-yy")</f>
        <v>Jan-25</v>
      </c>
      <c r="O7" s="1"/>
      <c r="P7" s="1"/>
    </row>
    <row r="8" customFormat="false" ht="19.5" hidden="false" customHeight="true" outlineLevel="0" collapsed="false">
      <c r="A8" s="1"/>
      <c r="B8" s="103" t="s">
        <v>556</v>
      </c>
      <c r="C8" s="123" t="n">
        <v>45669</v>
      </c>
      <c r="D8" s="103" t="s">
        <v>67</v>
      </c>
      <c r="E8" s="124" t="s">
        <v>111</v>
      </c>
      <c r="F8" s="124" t="s">
        <v>557</v>
      </c>
      <c r="G8" s="102" t="n">
        <v>6500</v>
      </c>
      <c r="H8" s="102" t="n">
        <v>500</v>
      </c>
      <c r="I8" s="102" t="n">
        <v>6000</v>
      </c>
      <c r="J8" s="103" t="s">
        <v>112</v>
      </c>
      <c r="K8" s="73" t="n">
        <f aca="false">I8+H8</f>
        <v>6500</v>
      </c>
      <c r="L8" s="104" t="n">
        <f aca="false">K8*IFERROR(INDEX(Settings_FX!$C$16:$I$27,MATCH(TEXT(C8,"mmm-yy"),Settings_FX!$B$16:$B$27,0),MATCH(J8,Settings_FX!$C$15:$I$15,0)),1)</f>
        <v>6500</v>
      </c>
      <c r="M8" s="103" t="s">
        <v>362</v>
      </c>
      <c r="N8" s="105" t="str">
        <f aca="false">TEXT(C8,"mmm-yy")</f>
        <v>Jan-25</v>
      </c>
      <c r="O8" s="1"/>
      <c r="P8" s="1"/>
    </row>
    <row r="9" customFormat="false" ht="19.5" hidden="false" customHeight="true" outlineLevel="0" collapsed="false">
      <c r="A9" s="1"/>
      <c r="B9" s="108" t="s">
        <v>558</v>
      </c>
      <c r="C9" s="125" t="n">
        <v>45675</v>
      </c>
      <c r="D9" s="108" t="s">
        <v>67</v>
      </c>
      <c r="E9" s="126" t="s">
        <v>120</v>
      </c>
      <c r="F9" s="126" t="s">
        <v>559</v>
      </c>
      <c r="G9" s="107" t="n">
        <v>4200</v>
      </c>
      <c r="H9" s="107" t="n">
        <v>350</v>
      </c>
      <c r="I9" s="107" t="n">
        <v>3850</v>
      </c>
      <c r="J9" s="108" t="s">
        <v>112</v>
      </c>
      <c r="K9" s="73" t="n">
        <f aca="false">I9+H9</f>
        <v>4200</v>
      </c>
      <c r="L9" s="109" t="n">
        <f aca="false">K9*IFERROR(INDEX(Settings_FX!$C$16:$I$27,MATCH(TEXT(C9,"mmm-yy"),Settings_FX!$B$16:$B$27,0),MATCH(J9,Settings_FX!$C$15:$I$15,0)),1)</f>
        <v>4200</v>
      </c>
      <c r="M9" s="108" t="s">
        <v>368</v>
      </c>
      <c r="N9" s="110" t="str">
        <f aca="false">TEXT(C9,"mmm-yy")</f>
        <v>Jan-25</v>
      </c>
      <c r="O9" s="1"/>
      <c r="P9" s="1"/>
    </row>
    <row r="10" customFormat="false" ht="19.5" hidden="false" customHeight="true" outlineLevel="0" collapsed="false">
      <c r="A10" s="1"/>
      <c r="B10" s="103" t="s">
        <v>560</v>
      </c>
      <c r="C10" s="123" t="n">
        <v>45693</v>
      </c>
      <c r="D10" s="103" t="s">
        <v>68</v>
      </c>
      <c r="E10" s="124" t="s">
        <v>108</v>
      </c>
      <c r="F10" s="124" t="s">
        <v>561</v>
      </c>
      <c r="G10" s="102" t="n">
        <v>5500</v>
      </c>
      <c r="H10" s="102" t="n">
        <v>500</v>
      </c>
      <c r="I10" s="102" t="n">
        <v>5000</v>
      </c>
      <c r="J10" s="103" t="s">
        <v>112</v>
      </c>
      <c r="K10" s="73" t="n">
        <f aca="false">I10+H10</f>
        <v>5500</v>
      </c>
      <c r="L10" s="104" t="n">
        <f aca="false">K10*IFERROR(INDEX(Settings_FX!$C$16:$I$27,MATCH(TEXT(C10,"mmm-yy"),Settings_FX!$B$16:$B$27,0),MATCH(J10,Settings_FX!$C$15:$I$15,0)),1)</f>
        <v>5500</v>
      </c>
      <c r="M10" s="103" t="s">
        <v>362</v>
      </c>
      <c r="N10" s="105" t="str">
        <f aca="false">TEXT(C10,"mmm-yy")</f>
        <v>Feb-25</v>
      </c>
      <c r="O10" s="1"/>
      <c r="P10" s="1"/>
    </row>
    <row r="11" customFormat="false" ht="19.5" hidden="false" customHeight="true" outlineLevel="0" collapsed="false">
      <c r="A11" s="1"/>
      <c r="B11" s="108" t="s">
        <v>562</v>
      </c>
      <c r="C11" s="125" t="n">
        <v>45696</v>
      </c>
      <c r="D11" s="108" t="s">
        <v>68</v>
      </c>
      <c r="E11" s="126" t="s">
        <v>110</v>
      </c>
      <c r="F11" s="126" t="s">
        <v>563</v>
      </c>
      <c r="G11" s="107" t="n">
        <v>4000</v>
      </c>
      <c r="H11" s="107" t="n">
        <v>300</v>
      </c>
      <c r="I11" s="107" t="n">
        <v>3700</v>
      </c>
      <c r="J11" s="108" t="s">
        <v>112</v>
      </c>
      <c r="K11" s="73" t="n">
        <f aca="false">I11+H11</f>
        <v>4000</v>
      </c>
      <c r="L11" s="109" t="n">
        <f aca="false">K11*IFERROR(INDEX(Settings_FX!$C$16:$I$27,MATCH(TEXT(C11,"mmm-yy"),Settings_FX!$B$16:$B$27,0),MATCH(J11,Settings_FX!$C$15:$I$15,0)),1)</f>
        <v>4000</v>
      </c>
      <c r="M11" s="108" t="s">
        <v>362</v>
      </c>
      <c r="N11" s="110" t="str">
        <f aca="false">TEXT(C11,"mmm-yy")</f>
        <v>Feb-25</v>
      </c>
      <c r="O11" s="1"/>
      <c r="P11" s="1"/>
    </row>
    <row r="12" customFormat="false" ht="19.5" hidden="false" customHeight="true" outlineLevel="0" collapsed="false">
      <c r="A12" s="1"/>
      <c r="B12" s="103" t="s">
        <v>564</v>
      </c>
      <c r="C12" s="123" t="n">
        <v>45702</v>
      </c>
      <c r="D12" s="103" t="s">
        <v>68</v>
      </c>
      <c r="E12" s="124" t="s">
        <v>111</v>
      </c>
      <c r="F12" s="124" t="s">
        <v>565</v>
      </c>
      <c r="G12" s="102" t="n">
        <v>6800</v>
      </c>
      <c r="H12" s="102" t="n">
        <v>550</v>
      </c>
      <c r="I12" s="102" t="n">
        <v>6250</v>
      </c>
      <c r="J12" s="103" t="s">
        <v>112</v>
      </c>
      <c r="K12" s="73" t="n">
        <f aca="false">I12+H12</f>
        <v>6800</v>
      </c>
      <c r="L12" s="104" t="n">
        <f aca="false">K12*IFERROR(INDEX(Settings_FX!$C$16:$I$27,MATCH(TEXT(C12,"mmm-yy"),Settings_FX!$B$16:$B$27,0),MATCH(J12,Settings_FX!$C$15:$I$15,0)),1)</f>
        <v>6800</v>
      </c>
      <c r="M12" s="103" t="s">
        <v>362</v>
      </c>
      <c r="N12" s="105" t="str">
        <f aca="false">TEXT(C12,"mmm-yy")</f>
        <v>Feb-25</v>
      </c>
      <c r="O12" s="1"/>
      <c r="P12" s="1"/>
    </row>
    <row r="13" customFormat="false" ht="19.5" hidden="false" customHeight="true" outlineLevel="0" collapsed="false">
      <c r="A13" s="1"/>
      <c r="B13" s="108" t="s">
        <v>566</v>
      </c>
      <c r="C13" s="125" t="n">
        <v>45720</v>
      </c>
      <c r="D13" s="108" t="s">
        <v>69</v>
      </c>
      <c r="E13" s="126" t="s">
        <v>108</v>
      </c>
      <c r="F13" s="126" t="s">
        <v>567</v>
      </c>
      <c r="G13" s="107" t="n">
        <v>5800</v>
      </c>
      <c r="H13" s="107" t="n">
        <v>600</v>
      </c>
      <c r="I13" s="107" t="n">
        <v>5200</v>
      </c>
      <c r="J13" s="108" t="s">
        <v>112</v>
      </c>
      <c r="K13" s="73" t="n">
        <f aca="false">I13+H13</f>
        <v>5800</v>
      </c>
      <c r="L13" s="109" t="n">
        <f aca="false">K13*IFERROR(INDEX(Settings_FX!$C$16:$I$27,MATCH(TEXT(C13,"mmm-yy"),Settings_FX!$B$16:$B$27,0),MATCH(J13,Settings_FX!$C$15:$I$15,0)),1)</f>
        <v>5800</v>
      </c>
      <c r="M13" s="108" t="s">
        <v>362</v>
      </c>
      <c r="N13" s="110" t="str">
        <f aca="false">TEXT(C13,"mmm-yy")</f>
        <v>Mar-25</v>
      </c>
      <c r="O13" s="1"/>
      <c r="P13" s="1"/>
    </row>
    <row r="14" customFormat="false" ht="19.5" hidden="false" customHeight="true" outlineLevel="0" collapsed="false">
      <c r="A14" s="1"/>
      <c r="B14" s="103" t="s">
        <v>568</v>
      </c>
      <c r="C14" s="123" t="n">
        <v>45724</v>
      </c>
      <c r="D14" s="103" t="s">
        <v>69</v>
      </c>
      <c r="E14" s="124" t="s">
        <v>114</v>
      </c>
      <c r="F14" s="124" t="s">
        <v>569</v>
      </c>
      <c r="G14" s="102" t="n">
        <v>4500</v>
      </c>
      <c r="H14" s="102" t="n">
        <v>400</v>
      </c>
      <c r="I14" s="102" t="n">
        <v>4100</v>
      </c>
      <c r="J14" s="103" t="s">
        <v>112</v>
      </c>
      <c r="K14" s="73" t="n">
        <f aca="false">I14+H14</f>
        <v>4500</v>
      </c>
      <c r="L14" s="104" t="n">
        <f aca="false">K14*IFERROR(INDEX(Settings_FX!$C$16:$I$27,MATCH(TEXT(C14,"mmm-yy"),Settings_FX!$B$16:$B$27,0),MATCH(J14,Settings_FX!$C$15:$I$15,0)),1)</f>
        <v>4500</v>
      </c>
      <c r="M14" s="103" t="s">
        <v>362</v>
      </c>
      <c r="N14" s="105" t="str">
        <f aca="false">TEXT(C14,"mmm-yy")</f>
        <v>Mar-25</v>
      </c>
      <c r="O14" s="1"/>
      <c r="P14" s="1"/>
    </row>
    <row r="15" customFormat="false" ht="19.5" hidden="false" customHeight="true" outlineLevel="0" collapsed="false">
      <c r="A15" s="1"/>
      <c r="B15" s="108" t="s">
        <v>570</v>
      </c>
      <c r="C15" s="125" t="n">
        <v>45728</v>
      </c>
      <c r="D15" s="108" t="s">
        <v>69</v>
      </c>
      <c r="E15" s="126" t="s">
        <v>115</v>
      </c>
      <c r="F15" s="126" t="s">
        <v>571</v>
      </c>
      <c r="G15" s="107" t="n">
        <v>7200</v>
      </c>
      <c r="H15" s="107" t="n">
        <v>600</v>
      </c>
      <c r="I15" s="107" t="n">
        <v>6600</v>
      </c>
      <c r="J15" s="108" t="s">
        <v>112</v>
      </c>
      <c r="K15" s="73" t="n">
        <f aca="false">I15+H15</f>
        <v>7200</v>
      </c>
      <c r="L15" s="109" t="n">
        <f aca="false">K15*IFERROR(INDEX(Settings_FX!$C$16:$I$27,MATCH(TEXT(C15,"mmm-yy"),Settings_FX!$B$16:$B$27,0),MATCH(J15,Settings_FX!$C$15:$I$15,0)),1)</f>
        <v>7200</v>
      </c>
      <c r="M15" s="108" t="s">
        <v>362</v>
      </c>
      <c r="N15" s="110" t="str">
        <f aca="false">TEXT(C15,"mmm-yy")</f>
        <v>Mar-25</v>
      </c>
      <c r="O15" s="1"/>
      <c r="P15" s="1"/>
    </row>
    <row r="16" customFormat="false" ht="19.5" hidden="false" customHeight="true" outlineLevel="0" collapsed="false">
      <c r="A16" s="1"/>
      <c r="B16" s="103" t="s">
        <v>572</v>
      </c>
      <c r="C16" s="123" t="n">
        <v>45734</v>
      </c>
      <c r="D16" s="103" t="s">
        <v>69</v>
      </c>
      <c r="E16" s="124" t="s">
        <v>122</v>
      </c>
      <c r="F16" s="124" t="s">
        <v>573</v>
      </c>
      <c r="G16" s="102" t="n">
        <v>8500</v>
      </c>
      <c r="H16" s="102" t="n">
        <v>700</v>
      </c>
      <c r="I16" s="102" t="n">
        <v>7800</v>
      </c>
      <c r="J16" s="103" t="s">
        <v>112</v>
      </c>
      <c r="K16" s="73" t="n">
        <f aca="false">I16+H16</f>
        <v>8500</v>
      </c>
      <c r="L16" s="104" t="n">
        <f aca="false">K16*IFERROR(INDEX(Settings_FX!$C$16:$I$27,MATCH(TEXT(C16,"mmm-yy"),Settings_FX!$B$16:$B$27,0),MATCH(J16,Settings_FX!$C$15:$I$15,0)),1)</f>
        <v>8500</v>
      </c>
      <c r="M16" s="103" t="s">
        <v>368</v>
      </c>
      <c r="N16" s="105" t="str">
        <f aca="false">TEXT(C16,"mmm-yy")</f>
        <v>Mar-25</v>
      </c>
      <c r="O16" s="1"/>
      <c r="P16" s="1"/>
    </row>
    <row r="17" customFormat="false" ht="19.5" hidden="false" customHeight="true" outlineLevel="0" collapsed="false">
      <c r="A17" s="1"/>
      <c r="B17" s="108" t="s">
        <v>574</v>
      </c>
      <c r="C17" s="125" t="n">
        <v>45741</v>
      </c>
      <c r="D17" s="108" t="s">
        <v>69</v>
      </c>
      <c r="E17" s="126" t="s">
        <v>124</v>
      </c>
      <c r="F17" s="126" t="s">
        <v>575</v>
      </c>
      <c r="G17" s="107" t="n">
        <v>4300</v>
      </c>
      <c r="H17" s="107" t="n">
        <v>350</v>
      </c>
      <c r="I17" s="107" t="n">
        <v>3950</v>
      </c>
      <c r="J17" s="108" t="s">
        <v>112</v>
      </c>
      <c r="K17" s="73" t="n">
        <f aca="false">I17+H17</f>
        <v>4300</v>
      </c>
      <c r="L17" s="109" t="n">
        <f aca="false">K17*IFERROR(INDEX(Settings_FX!$C$16:$I$27,MATCH(TEXT(C17,"mmm-yy"),Settings_FX!$B$16:$B$27,0),MATCH(J17,Settings_FX!$C$15:$I$15,0)),1)</f>
        <v>4300</v>
      </c>
      <c r="M17" s="108" t="s">
        <v>368</v>
      </c>
      <c r="N17" s="110" t="str">
        <f aca="false">TEXT(C17,"mmm-yy")</f>
        <v>Mar-25</v>
      </c>
      <c r="O17" s="1"/>
      <c r="P17" s="1"/>
    </row>
    <row r="18" customFormat="false" ht="19.5" hidden="false" customHeight="true" outlineLevel="0" collapsed="false">
      <c r="A18" s="1"/>
      <c r="B18" s="103" t="s">
        <v>576</v>
      </c>
      <c r="C18" s="123" t="n">
        <v>45752</v>
      </c>
      <c r="D18" s="103" t="s">
        <v>70</v>
      </c>
      <c r="E18" s="124" t="s">
        <v>108</v>
      </c>
      <c r="F18" s="124" t="s">
        <v>577</v>
      </c>
      <c r="G18" s="102" t="n">
        <v>6100</v>
      </c>
      <c r="H18" s="102" t="n">
        <v>600</v>
      </c>
      <c r="I18" s="102" t="n">
        <v>5500</v>
      </c>
      <c r="J18" s="103" t="s">
        <v>112</v>
      </c>
      <c r="K18" s="73" t="n">
        <f aca="false">I18+H18</f>
        <v>6100</v>
      </c>
      <c r="L18" s="104" t="n">
        <f aca="false">K18*IFERROR(INDEX(Settings_FX!$C$16:$I$27,MATCH(TEXT(C18,"mmm-yy"),Settings_FX!$B$16:$B$27,0),MATCH(J18,Settings_FX!$C$15:$I$15,0)),1)</f>
        <v>6100</v>
      </c>
      <c r="M18" s="103" t="s">
        <v>362</v>
      </c>
      <c r="N18" s="105" t="str">
        <f aca="false">TEXT(C18,"mmm-yy")</f>
        <v>Apr-25</v>
      </c>
      <c r="O18" s="1"/>
      <c r="P18" s="1"/>
    </row>
    <row r="19" customFormat="false" ht="19.5" hidden="false" customHeight="true" outlineLevel="0" collapsed="false">
      <c r="A19" s="1"/>
      <c r="B19" s="108" t="s">
        <v>578</v>
      </c>
      <c r="C19" s="125" t="n">
        <v>45756</v>
      </c>
      <c r="D19" s="108" t="s">
        <v>70</v>
      </c>
      <c r="E19" s="126" t="s">
        <v>125</v>
      </c>
      <c r="F19" s="126" t="s">
        <v>579</v>
      </c>
      <c r="G19" s="107" t="n">
        <v>3200</v>
      </c>
      <c r="H19" s="107" t="n">
        <v>250</v>
      </c>
      <c r="I19" s="107" t="n">
        <v>2950</v>
      </c>
      <c r="J19" s="108" t="s">
        <v>112</v>
      </c>
      <c r="K19" s="73" t="n">
        <f aca="false">I19+H19</f>
        <v>3200</v>
      </c>
      <c r="L19" s="109" t="n">
        <f aca="false">K19*IFERROR(INDEX(Settings_FX!$C$16:$I$27,MATCH(TEXT(C19,"mmm-yy"),Settings_FX!$B$16:$B$27,0),MATCH(J19,Settings_FX!$C$15:$I$15,0)),1)</f>
        <v>3200</v>
      </c>
      <c r="M19" s="108" t="s">
        <v>368</v>
      </c>
      <c r="N19" s="110" t="str">
        <f aca="false">TEXT(C19,"mmm-yy")</f>
        <v>Apr-25</v>
      </c>
      <c r="O19" s="1"/>
      <c r="P19" s="1"/>
    </row>
    <row r="20" customFormat="false" ht="19.5" hidden="false" customHeight="true" outlineLevel="0" collapsed="false">
      <c r="A20" s="1"/>
      <c r="B20" s="103" t="s">
        <v>580</v>
      </c>
      <c r="C20" s="123" t="n">
        <v>45782</v>
      </c>
      <c r="D20" s="103" t="s">
        <v>71</v>
      </c>
      <c r="E20" s="124" t="s">
        <v>108</v>
      </c>
      <c r="F20" s="124" t="s">
        <v>581</v>
      </c>
      <c r="G20" s="102" t="n">
        <v>6300</v>
      </c>
      <c r="H20" s="102" t="n">
        <v>650</v>
      </c>
      <c r="I20" s="102" t="n">
        <v>5650</v>
      </c>
      <c r="J20" s="103" t="s">
        <v>112</v>
      </c>
      <c r="K20" s="73" t="n">
        <f aca="false">I20+H20</f>
        <v>6300</v>
      </c>
      <c r="L20" s="104" t="n">
        <f aca="false">K20*IFERROR(INDEX(Settings_FX!$C$16:$I$27,MATCH(TEXT(C20,"mmm-yy"),Settings_FX!$B$16:$B$27,0),MATCH(J20,Settings_FX!$C$15:$I$15,0)),1)</f>
        <v>6300</v>
      </c>
      <c r="M20" s="103" t="s">
        <v>362</v>
      </c>
      <c r="N20" s="105" t="str">
        <f aca="false">TEXT(C20,"mmm-yy")</f>
        <v>May-25</v>
      </c>
      <c r="O20" s="1"/>
      <c r="P20" s="1"/>
    </row>
    <row r="21" customFormat="false" ht="19.5" hidden="false" customHeight="true" outlineLevel="0" collapsed="false">
      <c r="A21" s="1"/>
      <c r="B21" s="108" t="s">
        <v>582</v>
      </c>
      <c r="C21" s="125" t="n">
        <v>45785</v>
      </c>
      <c r="D21" s="108" t="s">
        <v>71</v>
      </c>
      <c r="E21" s="126" t="s">
        <v>111</v>
      </c>
      <c r="F21" s="126" t="s">
        <v>583</v>
      </c>
      <c r="G21" s="107" t="n">
        <v>7100</v>
      </c>
      <c r="H21" s="107" t="n">
        <v>600</v>
      </c>
      <c r="I21" s="107" t="n">
        <v>6500</v>
      </c>
      <c r="J21" s="108" t="s">
        <v>112</v>
      </c>
      <c r="K21" s="73" t="n">
        <f aca="false">I21+H21</f>
        <v>7100</v>
      </c>
      <c r="L21" s="109" t="n">
        <f aca="false">K21*IFERROR(INDEX(Settings_FX!$C$16:$I$27,MATCH(TEXT(C21,"mmm-yy"),Settings_FX!$B$16:$B$27,0),MATCH(J21,Settings_FX!$C$15:$I$15,0)),1)</f>
        <v>7100</v>
      </c>
      <c r="M21" s="108" t="s">
        <v>362</v>
      </c>
      <c r="N21" s="110" t="str">
        <f aca="false">TEXT(C21,"mmm-yy")</f>
        <v>May-25</v>
      </c>
      <c r="O21" s="1"/>
      <c r="P21" s="1"/>
    </row>
    <row r="22" customFormat="false" ht="19.5" hidden="false" customHeight="true" outlineLevel="0" collapsed="false">
      <c r="A22" s="1"/>
      <c r="B22" s="103" t="s">
        <v>584</v>
      </c>
      <c r="C22" s="123" t="n">
        <v>45792</v>
      </c>
      <c r="D22" s="103" t="s">
        <v>71</v>
      </c>
      <c r="E22" s="124" t="s">
        <v>123</v>
      </c>
      <c r="F22" s="124" t="s">
        <v>585</v>
      </c>
      <c r="G22" s="102" t="n">
        <v>3900</v>
      </c>
      <c r="H22" s="102" t="n">
        <v>300</v>
      </c>
      <c r="I22" s="102" t="n">
        <v>3600</v>
      </c>
      <c r="J22" s="103" t="s">
        <v>112</v>
      </c>
      <c r="K22" s="73" t="n">
        <f aca="false">I22+H22</f>
        <v>3900</v>
      </c>
      <c r="L22" s="104" t="n">
        <f aca="false">K22*IFERROR(INDEX(Settings_FX!$C$16:$I$27,MATCH(TEXT(C22,"mmm-yy"),Settings_FX!$B$16:$B$27,0),MATCH(J22,Settings_FX!$C$15:$I$15,0)),1)</f>
        <v>3900</v>
      </c>
      <c r="M22" s="103" t="s">
        <v>368</v>
      </c>
      <c r="N22" s="105" t="str">
        <f aca="false">TEXT(C22,"mmm-yy")</f>
        <v>May-25</v>
      </c>
      <c r="O22" s="1"/>
      <c r="P22" s="1"/>
    </row>
    <row r="23" customFormat="false" ht="19.5" hidden="false" customHeight="true" outlineLevel="0" collapsed="false">
      <c r="A23" s="1"/>
      <c r="B23" s="108" t="s">
        <v>586</v>
      </c>
      <c r="C23" s="125" t="n">
        <v>45812</v>
      </c>
      <c r="D23" s="108" t="s">
        <v>72</v>
      </c>
      <c r="E23" s="126" t="s">
        <v>113</v>
      </c>
      <c r="F23" s="126" t="s">
        <v>587</v>
      </c>
      <c r="G23" s="107" t="n">
        <v>6600</v>
      </c>
      <c r="H23" s="107" t="n">
        <v>700</v>
      </c>
      <c r="I23" s="107" t="n">
        <v>5900</v>
      </c>
      <c r="J23" s="108" t="s">
        <v>112</v>
      </c>
      <c r="K23" s="73" t="n">
        <f aca="false">I23+H23</f>
        <v>6600</v>
      </c>
      <c r="L23" s="109" t="n">
        <f aca="false">K23*IFERROR(INDEX(Settings_FX!$C$16:$I$27,MATCH(TEXT(C23,"mmm-yy"),Settings_FX!$B$16:$B$27,0),MATCH(J23,Settings_FX!$C$15:$I$15,0)),1)</f>
        <v>6600</v>
      </c>
      <c r="M23" s="108" t="s">
        <v>362</v>
      </c>
      <c r="N23" s="110" t="str">
        <f aca="false">TEXT(C23,"mmm-yy")</f>
        <v>Jun-25</v>
      </c>
      <c r="O23" s="1"/>
      <c r="P23" s="1"/>
    </row>
    <row r="24" customFormat="false" ht="19.5" hidden="false" customHeight="true" outlineLevel="0" collapsed="false">
      <c r="A24" s="1"/>
      <c r="B24" s="103" t="s">
        <v>588</v>
      </c>
      <c r="C24" s="123" t="n">
        <v>45816</v>
      </c>
      <c r="D24" s="103" t="s">
        <v>72</v>
      </c>
      <c r="E24" s="124" t="s">
        <v>117</v>
      </c>
      <c r="F24" s="124" t="s">
        <v>589</v>
      </c>
      <c r="G24" s="102" t="n">
        <v>5800</v>
      </c>
      <c r="H24" s="102" t="n">
        <v>450</v>
      </c>
      <c r="I24" s="102" t="n">
        <v>5350</v>
      </c>
      <c r="J24" s="103" t="s">
        <v>112</v>
      </c>
      <c r="K24" s="73" t="n">
        <f aca="false">I24+H24</f>
        <v>5800</v>
      </c>
      <c r="L24" s="104" t="n">
        <f aca="false">K24*IFERROR(INDEX(Settings_FX!$C$16:$I$27,MATCH(TEXT(C24,"mmm-yy"),Settings_FX!$B$16:$B$27,0),MATCH(J24,Settings_FX!$C$15:$I$15,0)),1)</f>
        <v>5800</v>
      </c>
      <c r="M24" s="103" t="s">
        <v>362</v>
      </c>
      <c r="N24" s="105" t="str">
        <f aca="false">TEXT(C24,"mmm-yy")</f>
        <v>Jun-25</v>
      </c>
      <c r="O24" s="1"/>
      <c r="P24" s="1"/>
    </row>
    <row r="25" customFormat="false" ht="19.5" hidden="false" customHeight="true" outlineLevel="0" collapsed="false">
      <c r="A25" s="1"/>
      <c r="B25" s="108" t="s">
        <v>590</v>
      </c>
      <c r="C25" s="125" t="n">
        <v>45844</v>
      </c>
      <c r="D25" s="108" t="s">
        <v>73</v>
      </c>
      <c r="E25" s="126" t="s">
        <v>126</v>
      </c>
      <c r="F25" s="126" t="s">
        <v>591</v>
      </c>
      <c r="G25" s="107" t="n">
        <v>7200</v>
      </c>
      <c r="H25" s="107" t="n">
        <v>600</v>
      </c>
      <c r="I25" s="107" t="n">
        <v>6600</v>
      </c>
      <c r="J25" s="108" t="s">
        <v>112</v>
      </c>
      <c r="K25" s="73" t="n">
        <f aca="false">I25+H25</f>
        <v>7200</v>
      </c>
      <c r="L25" s="109" t="n">
        <f aca="false">K25*IFERROR(INDEX(Settings_FX!$C$16:$I$27,MATCH(TEXT(C25,"mmm-yy"),Settings_FX!$B$16:$B$27,0),MATCH(J25,Settings_FX!$C$15:$I$15,0)),1)</f>
        <v>7200</v>
      </c>
      <c r="M25" s="108" t="s">
        <v>368</v>
      </c>
      <c r="N25" s="110" t="str">
        <f aca="false">TEXT(C25,"mmm-yy")</f>
        <v>Jul-25</v>
      </c>
      <c r="O25" s="1"/>
      <c r="P25" s="1"/>
    </row>
    <row r="26" customFormat="false" ht="19.5" hidden="false" customHeight="true" outlineLevel="0" collapsed="false">
      <c r="A26" s="1"/>
      <c r="B26" s="103" t="s">
        <v>592</v>
      </c>
      <c r="C26" s="123" t="n">
        <v>45850</v>
      </c>
      <c r="D26" s="103" t="s">
        <v>73</v>
      </c>
      <c r="E26" s="124" t="s">
        <v>108</v>
      </c>
      <c r="F26" s="124" t="s">
        <v>593</v>
      </c>
      <c r="G26" s="102" t="n">
        <v>6800</v>
      </c>
      <c r="H26" s="102" t="n">
        <v>700</v>
      </c>
      <c r="I26" s="102" t="n">
        <v>6100</v>
      </c>
      <c r="J26" s="103" t="s">
        <v>112</v>
      </c>
      <c r="K26" s="73" t="n">
        <f aca="false">I26+H26</f>
        <v>6800</v>
      </c>
      <c r="L26" s="104" t="n">
        <f aca="false">K26*IFERROR(INDEX(Settings_FX!$C$16:$I$27,MATCH(TEXT(C26,"mmm-yy"),Settings_FX!$B$16:$B$27,0),MATCH(J26,Settings_FX!$C$15:$I$15,0)),1)</f>
        <v>6800</v>
      </c>
      <c r="M26" s="103" t="s">
        <v>362</v>
      </c>
      <c r="N26" s="105" t="str">
        <f aca="false">TEXT(C26,"mmm-yy")</f>
        <v>Jul-25</v>
      </c>
      <c r="O26" s="1"/>
      <c r="P26" s="1"/>
    </row>
    <row r="27" customFormat="false" ht="19.5" hidden="false" customHeight="true" outlineLevel="0" collapsed="false">
      <c r="A27" s="1"/>
      <c r="B27" s="108" t="s">
        <v>594</v>
      </c>
      <c r="C27" s="125" t="n">
        <v>45878</v>
      </c>
      <c r="D27" s="108" t="s">
        <v>74</v>
      </c>
      <c r="E27" s="126" t="s">
        <v>120</v>
      </c>
      <c r="F27" s="126" t="s">
        <v>595</v>
      </c>
      <c r="G27" s="107" t="n">
        <v>4500</v>
      </c>
      <c r="H27" s="107" t="n">
        <v>400</v>
      </c>
      <c r="I27" s="107" t="n">
        <v>4100</v>
      </c>
      <c r="J27" s="108" t="s">
        <v>112</v>
      </c>
      <c r="K27" s="73" t="n">
        <f aca="false">I27+H27</f>
        <v>4500</v>
      </c>
      <c r="L27" s="109" t="n">
        <f aca="false">K27*IFERROR(INDEX(Settings_FX!$C$16:$I$27,MATCH(TEXT(C27,"mmm-yy"),Settings_FX!$B$16:$B$27,0),MATCH(J27,Settings_FX!$C$15:$I$15,0)),1)</f>
        <v>4500</v>
      </c>
      <c r="M27" s="108" t="s">
        <v>368</v>
      </c>
      <c r="N27" s="110" t="str">
        <f aca="false">TEXT(C27,"mmm-yy")</f>
        <v>Aug-25</v>
      </c>
      <c r="O27" s="1"/>
      <c r="P27" s="1"/>
    </row>
    <row r="28" customFormat="false" ht="19.5" hidden="false" customHeight="true" outlineLevel="0" collapsed="false">
      <c r="A28" s="1"/>
      <c r="B28" s="103" t="s">
        <v>596</v>
      </c>
      <c r="C28" s="123" t="n">
        <v>45914</v>
      </c>
      <c r="D28" s="103" t="s">
        <v>75</v>
      </c>
      <c r="E28" s="124" t="s">
        <v>127</v>
      </c>
      <c r="F28" s="124" t="s">
        <v>597</v>
      </c>
      <c r="G28" s="102" t="n">
        <v>9800</v>
      </c>
      <c r="H28" s="102" t="n">
        <v>800</v>
      </c>
      <c r="I28" s="102" t="n">
        <v>9000</v>
      </c>
      <c r="J28" s="103" t="s">
        <v>112</v>
      </c>
      <c r="K28" s="73" t="n">
        <f aca="false">I28+H28</f>
        <v>9800</v>
      </c>
      <c r="L28" s="104" t="n">
        <f aca="false">K28*IFERROR(INDEX(Settings_FX!$C$16:$I$27,MATCH(TEXT(C28,"mmm-yy"),Settings_FX!$B$16:$B$27,0),MATCH(J28,Settings_FX!$C$15:$I$15,0)),1)</f>
        <v>9800</v>
      </c>
      <c r="M28" s="103" t="s">
        <v>368</v>
      </c>
      <c r="N28" s="105" t="str">
        <f aca="false">TEXT(C28,"mmm-yy")</f>
        <v>Sep-25</v>
      </c>
      <c r="O28" s="1"/>
      <c r="P28" s="1"/>
    </row>
    <row r="29" customFormat="false" ht="24" hidden="false" customHeight="true" outlineLevel="0" collapsed="false">
      <c r="A29" s="1"/>
      <c r="B29" s="40" t="s">
        <v>146</v>
      </c>
      <c r="C29" s="56"/>
      <c r="D29" s="56"/>
      <c r="E29" s="56"/>
      <c r="F29" s="56"/>
      <c r="G29" s="55" t="n">
        <f aca="false">SUM(G6:G28)</f>
        <v>133600</v>
      </c>
      <c r="H29" s="55" t="n">
        <f aca="false">SUM(H6:H28)</f>
        <v>11650</v>
      </c>
      <c r="I29" s="55" t="n">
        <f aca="false">SUM(I6:I28)</f>
        <v>121950</v>
      </c>
      <c r="J29" s="56"/>
      <c r="K29" s="130" t="n">
        <f aca="false">SUM(K6:K28)</f>
        <v>133600</v>
      </c>
      <c r="L29" s="55" t="n">
        <f aca="false">SUM(L6:L28)</f>
        <v>133600</v>
      </c>
      <c r="M29" s="56"/>
      <c r="N29" s="56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</sheetData>
  <mergeCells count="3">
    <mergeCell ref="B2:N2"/>
    <mergeCell ref="B3:N3"/>
    <mergeCell ref="B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A84B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4" min="3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598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1"/>
      <c r="B3" s="3" t="s">
        <v>599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5.5" hidden="false" customHeight="true" outlineLevel="0" collapsed="false">
      <c r="A5" s="1"/>
      <c r="B5" s="5" t="s">
        <v>600</v>
      </c>
      <c r="C5" s="5"/>
      <c r="D5" s="5"/>
      <c r="E5" s="5"/>
      <c r="F5" s="5"/>
      <c r="G5" s="1"/>
      <c r="H5" s="1"/>
      <c r="I5" s="1"/>
      <c r="J5" s="1"/>
      <c r="K5" s="1"/>
      <c r="L5" s="1"/>
    </row>
    <row r="6" customFormat="false" ht="19.5" hidden="false" customHeight="true" outlineLevel="0" collapsed="false">
      <c r="A6" s="1"/>
      <c r="B6" s="57" t="s">
        <v>601</v>
      </c>
      <c r="C6" s="131" t="s">
        <v>602</v>
      </c>
      <c r="D6" s="132" t="s">
        <v>109</v>
      </c>
      <c r="E6" s="59"/>
      <c r="F6" s="59"/>
      <c r="G6" s="1"/>
      <c r="H6" s="1"/>
      <c r="I6" s="1"/>
      <c r="J6" s="1"/>
      <c r="K6" s="1"/>
      <c r="L6" s="1"/>
    </row>
    <row r="7" customFormat="false" ht="19.5" hidden="false" customHeight="true" outlineLevel="0" collapsed="false">
      <c r="A7" s="1"/>
      <c r="B7" s="57" t="s">
        <v>603</v>
      </c>
      <c r="C7" s="131" t="s">
        <v>604</v>
      </c>
      <c r="D7" s="132" t="s">
        <v>121</v>
      </c>
      <c r="E7" s="59"/>
      <c r="F7" s="59"/>
      <c r="G7" s="1"/>
      <c r="H7" s="1"/>
      <c r="I7" s="1"/>
      <c r="J7" s="1"/>
      <c r="K7" s="1"/>
      <c r="L7" s="1"/>
    </row>
    <row r="8" customFormat="false" ht="19.5" hidden="false" customHeight="true" outlineLevel="0" collapsed="false">
      <c r="A8" s="1"/>
      <c r="B8" s="57" t="s">
        <v>605</v>
      </c>
      <c r="C8" s="131" t="s">
        <v>112</v>
      </c>
      <c r="D8" s="132"/>
      <c r="E8" s="59"/>
      <c r="F8" s="59"/>
      <c r="G8" s="1"/>
      <c r="H8" s="1"/>
      <c r="I8" s="1"/>
      <c r="J8" s="1"/>
      <c r="K8" s="1"/>
      <c r="L8" s="1"/>
    </row>
    <row r="9" customFormat="false" ht="19.5" hidden="false" customHeight="true" outlineLevel="0" collapsed="false">
      <c r="A9" s="1"/>
      <c r="B9" s="57" t="s">
        <v>606</v>
      </c>
      <c r="C9" s="131" t="s">
        <v>112</v>
      </c>
      <c r="D9" s="132"/>
      <c r="E9" s="59"/>
      <c r="F9" s="59"/>
      <c r="G9" s="1"/>
      <c r="H9" s="1"/>
      <c r="I9" s="1"/>
      <c r="J9" s="1"/>
      <c r="K9" s="1"/>
      <c r="L9" s="1"/>
    </row>
    <row r="10" customFormat="false" ht="19.5" hidden="false" customHeight="true" outlineLevel="0" collapsed="false">
      <c r="A10" s="1"/>
      <c r="B10" s="57" t="s">
        <v>607</v>
      </c>
      <c r="C10" s="133" t="n">
        <v>0.029</v>
      </c>
      <c r="D10" s="132"/>
      <c r="E10" s="59"/>
      <c r="F10" s="59"/>
      <c r="G10" s="1"/>
      <c r="H10" s="1"/>
      <c r="I10" s="1"/>
      <c r="J10" s="1"/>
      <c r="K10" s="1"/>
      <c r="L10" s="1"/>
    </row>
    <row r="11" customFormat="false" ht="19.5" hidden="false" customHeight="true" outlineLevel="0" collapsed="false">
      <c r="A11" s="1"/>
      <c r="B11" s="57" t="s">
        <v>608</v>
      </c>
      <c r="C11" s="134" t="n">
        <v>0.3</v>
      </c>
      <c r="D11" s="132"/>
      <c r="E11" s="59"/>
      <c r="F11" s="59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25.5" hidden="false" customHeight="true" outlineLevel="0" collapsed="false">
      <c r="A14" s="1"/>
      <c r="B14" s="5" t="s">
        <v>609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24" hidden="false" customHeight="true" outlineLevel="0" collapsed="false">
      <c r="A15" s="1"/>
      <c r="B15" s="94" t="s">
        <v>61</v>
      </c>
      <c r="C15" s="94" t="s">
        <v>112</v>
      </c>
      <c r="D15" s="94" t="s">
        <v>109</v>
      </c>
      <c r="E15" s="94" t="s">
        <v>121</v>
      </c>
      <c r="F15" s="94" t="s">
        <v>610</v>
      </c>
      <c r="G15" s="94" t="s">
        <v>611</v>
      </c>
      <c r="H15" s="94" t="s">
        <v>612</v>
      </c>
      <c r="I15" s="94" t="s">
        <v>613</v>
      </c>
      <c r="J15" s="1"/>
      <c r="K15" s="1"/>
      <c r="L15" s="1"/>
    </row>
    <row r="16" customFormat="false" ht="18" hidden="false" customHeight="true" outlineLevel="0" collapsed="false">
      <c r="A16" s="1"/>
      <c r="B16" s="135" t="s">
        <v>67</v>
      </c>
      <c r="C16" s="136" t="n">
        <v>1</v>
      </c>
      <c r="D16" s="136" t="n">
        <v>0.2723</v>
      </c>
      <c r="E16" s="136" t="n">
        <v>0.743</v>
      </c>
      <c r="F16" s="136" t="n">
        <v>1.082</v>
      </c>
      <c r="G16" s="136" t="n">
        <v>1.265</v>
      </c>
      <c r="H16" s="136" t="n">
        <v>0.0115</v>
      </c>
      <c r="I16" s="136" t="n">
        <v>0.0036</v>
      </c>
      <c r="J16" s="1"/>
      <c r="K16" s="1"/>
      <c r="L16" s="1"/>
    </row>
    <row r="17" customFormat="false" ht="18" hidden="false" customHeight="true" outlineLevel="0" collapsed="false">
      <c r="A17" s="1"/>
      <c r="B17" s="135" t="s">
        <v>68</v>
      </c>
      <c r="C17" s="136" t="n">
        <v>1</v>
      </c>
      <c r="D17" s="136" t="n">
        <v>0.2723</v>
      </c>
      <c r="E17" s="136" t="n">
        <v>0.743</v>
      </c>
      <c r="F17" s="136" t="n">
        <v>1.054</v>
      </c>
      <c r="G17" s="136" t="n">
        <v>1.268</v>
      </c>
      <c r="H17" s="136" t="n">
        <v>0.0115</v>
      </c>
      <c r="I17" s="136" t="n">
        <v>0.0036</v>
      </c>
      <c r="J17" s="1"/>
      <c r="K17" s="1"/>
      <c r="L17" s="1"/>
    </row>
    <row r="18" customFormat="false" ht="18" hidden="false" customHeight="true" outlineLevel="0" collapsed="false">
      <c r="A18" s="1"/>
      <c r="B18" s="135" t="s">
        <v>69</v>
      </c>
      <c r="C18" s="136" t="n">
        <v>1</v>
      </c>
      <c r="D18" s="136" t="n">
        <v>0.2723</v>
      </c>
      <c r="E18" s="136" t="n">
        <v>0.743</v>
      </c>
      <c r="F18" s="136" t="n">
        <v>1.082</v>
      </c>
      <c r="G18" s="136" t="n">
        <v>1.275</v>
      </c>
      <c r="H18" s="136" t="n">
        <v>0.0116</v>
      </c>
      <c r="I18" s="136" t="n">
        <v>0.0036</v>
      </c>
      <c r="J18" s="1"/>
      <c r="K18" s="1"/>
      <c r="L18" s="1"/>
    </row>
    <row r="19" customFormat="false" ht="18" hidden="false" customHeight="true" outlineLevel="0" collapsed="false">
      <c r="A19" s="1"/>
      <c r="B19" s="135" t="s">
        <v>70</v>
      </c>
      <c r="C19" s="136" t="n">
        <v>1</v>
      </c>
      <c r="D19" s="136" t="n">
        <v>0.2723</v>
      </c>
      <c r="E19" s="136" t="n">
        <v>0.7435</v>
      </c>
      <c r="F19" s="136" t="n">
        <v>1.135</v>
      </c>
      <c r="G19" s="136" t="n">
        <v>1.298</v>
      </c>
      <c r="H19" s="136" t="n">
        <v>0.0118</v>
      </c>
      <c r="I19" s="136" t="n">
        <v>0.0036</v>
      </c>
      <c r="J19" s="1"/>
      <c r="K19" s="1"/>
      <c r="L19" s="1"/>
    </row>
    <row r="20" customFormat="false" ht="18" hidden="false" customHeight="true" outlineLevel="0" collapsed="false">
      <c r="A20" s="1"/>
      <c r="B20" s="135" t="s">
        <v>71</v>
      </c>
      <c r="C20" s="136" t="n">
        <v>1</v>
      </c>
      <c r="D20" s="136" t="n">
        <v>0.2723</v>
      </c>
      <c r="E20" s="136" t="n">
        <v>0.744</v>
      </c>
      <c r="F20" s="136" t="n">
        <v>1.124</v>
      </c>
      <c r="G20" s="136" t="n">
        <v>1.312</v>
      </c>
      <c r="H20" s="136" t="n">
        <v>0.0118</v>
      </c>
      <c r="I20" s="136" t="n">
        <v>0.0036</v>
      </c>
      <c r="J20" s="1"/>
      <c r="K20" s="1"/>
      <c r="L20" s="1"/>
    </row>
    <row r="21" customFormat="false" ht="18" hidden="false" customHeight="true" outlineLevel="0" collapsed="false">
      <c r="A21" s="1"/>
      <c r="B21" s="135" t="s">
        <v>72</v>
      </c>
      <c r="C21" s="136" t="n">
        <v>1</v>
      </c>
      <c r="D21" s="136" t="n">
        <v>0.2723</v>
      </c>
      <c r="E21" s="136" t="n">
        <v>0.744</v>
      </c>
      <c r="F21" s="136" t="n">
        <v>1.146</v>
      </c>
      <c r="G21" s="136" t="n">
        <v>1.332</v>
      </c>
      <c r="H21" s="136" t="n">
        <v>0.0118</v>
      </c>
      <c r="I21" s="136" t="n">
        <v>0.0036</v>
      </c>
      <c r="J21" s="1"/>
      <c r="K21" s="1"/>
      <c r="L21" s="1"/>
    </row>
    <row r="22" customFormat="false" ht="18" hidden="false" customHeight="true" outlineLevel="0" collapsed="false">
      <c r="A22" s="1"/>
      <c r="B22" s="135" t="s">
        <v>73</v>
      </c>
      <c r="C22" s="136" t="n">
        <v>1</v>
      </c>
      <c r="D22" s="136" t="n">
        <v>0.2723</v>
      </c>
      <c r="E22" s="136" t="n">
        <v>0.7445</v>
      </c>
      <c r="F22" s="136" t="n">
        <v>1.154</v>
      </c>
      <c r="G22" s="136" t="n">
        <v>1.345</v>
      </c>
      <c r="H22" s="136" t="n">
        <v>0.0119</v>
      </c>
      <c r="I22" s="136" t="n">
        <v>0.0036</v>
      </c>
      <c r="J22" s="1"/>
      <c r="K22" s="1"/>
      <c r="L22" s="1"/>
    </row>
    <row r="23" customFormat="false" ht="18" hidden="false" customHeight="true" outlineLevel="0" collapsed="false">
      <c r="A23" s="1"/>
      <c r="B23" s="135" t="s">
        <v>74</v>
      </c>
      <c r="C23" s="136" t="n">
        <v>1</v>
      </c>
      <c r="D23" s="136" t="n">
        <v>0.2723</v>
      </c>
      <c r="E23" s="136" t="n">
        <v>0.745</v>
      </c>
      <c r="F23" s="136" t="n">
        <v>1.115</v>
      </c>
      <c r="G23" s="136" t="n">
        <v>1.328</v>
      </c>
      <c r="H23" s="136" t="n">
        <v>0.0119</v>
      </c>
      <c r="I23" s="136" t="n">
        <v>0.0036</v>
      </c>
      <c r="J23" s="1"/>
      <c r="K23" s="1"/>
      <c r="L23" s="1"/>
    </row>
    <row r="24" customFormat="false" ht="18" hidden="false" customHeight="true" outlineLevel="0" collapsed="false">
      <c r="A24" s="1"/>
      <c r="B24" s="135" t="s">
        <v>75</v>
      </c>
      <c r="C24" s="136" t="n">
        <v>1</v>
      </c>
      <c r="D24" s="136" t="n">
        <v>0.2723</v>
      </c>
      <c r="E24" s="136" t="n">
        <v>0.7455</v>
      </c>
      <c r="F24" s="136" t="n">
        <v>1.118</v>
      </c>
      <c r="G24" s="136" t="n">
        <v>1.338</v>
      </c>
      <c r="H24" s="136" t="n">
        <v>0.012</v>
      </c>
      <c r="I24" s="136" t="n">
        <v>0.0036</v>
      </c>
      <c r="J24" s="1"/>
      <c r="K24" s="1"/>
      <c r="L24" s="1"/>
    </row>
    <row r="25" customFormat="false" ht="18" hidden="false" customHeight="true" outlineLevel="0" collapsed="false">
      <c r="A25" s="1"/>
      <c r="B25" s="135" t="s">
        <v>76</v>
      </c>
      <c r="C25" s="136" t="n">
        <v>1</v>
      </c>
      <c r="D25" s="136" t="n">
        <v>0.2723</v>
      </c>
      <c r="E25" s="136" t="n">
        <v>0.746</v>
      </c>
      <c r="F25" s="136" t="n">
        <v>1.089</v>
      </c>
      <c r="G25" s="136" t="n">
        <v>1.305</v>
      </c>
      <c r="H25" s="136" t="n">
        <v>0.012</v>
      </c>
      <c r="I25" s="136" t="n">
        <v>0.0036</v>
      </c>
      <c r="J25" s="1"/>
      <c r="K25" s="1"/>
      <c r="L25" s="1"/>
    </row>
    <row r="26" customFormat="false" ht="18" hidden="false" customHeight="true" outlineLevel="0" collapsed="false">
      <c r="A26" s="1"/>
      <c r="B26" s="135" t="s">
        <v>77</v>
      </c>
      <c r="C26" s="136" t="n">
        <v>1</v>
      </c>
      <c r="D26" s="136" t="n">
        <v>0.2723</v>
      </c>
      <c r="E26" s="136" t="n">
        <v>0.7465</v>
      </c>
      <c r="F26" s="136" t="n">
        <v>1.056</v>
      </c>
      <c r="G26" s="136" t="n">
        <v>1.27</v>
      </c>
      <c r="H26" s="136" t="n">
        <v>0.012</v>
      </c>
      <c r="I26" s="136" t="n">
        <v>0.0036</v>
      </c>
      <c r="J26" s="1"/>
      <c r="K26" s="1"/>
      <c r="L26" s="1"/>
    </row>
    <row r="27" customFormat="false" ht="18" hidden="false" customHeight="true" outlineLevel="0" collapsed="false">
      <c r="A27" s="1"/>
      <c r="B27" s="135" t="s">
        <v>78</v>
      </c>
      <c r="C27" s="136" t="n">
        <v>1</v>
      </c>
      <c r="D27" s="136" t="n">
        <v>0.2723</v>
      </c>
      <c r="E27" s="136" t="n">
        <v>0.747</v>
      </c>
      <c r="F27" s="136" t="n">
        <v>1.041</v>
      </c>
      <c r="G27" s="136" t="n">
        <v>1.254</v>
      </c>
      <c r="H27" s="136" t="n">
        <v>0.012</v>
      </c>
      <c r="I27" s="136" t="n">
        <v>0.0036</v>
      </c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25.5" hidden="false" customHeight="true" outlineLevel="0" collapsed="false">
      <c r="A30" s="1"/>
      <c r="B30" s="5" t="s">
        <v>614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24" hidden="false" customHeight="true" outlineLevel="0" collapsed="false">
      <c r="A31" s="1"/>
      <c r="B31" s="94" t="s">
        <v>615</v>
      </c>
      <c r="C31" s="94" t="s">
        <v>616</v>
      </c>
      <c r="D31" s="94" t="s">
        <v>359</v>
      </c>
      <c r="E31" s="94" t="s">
        <v>617</v>
      </c>
      <c r="F31" s="94" t="s">
        <v>618</v>
      </c>
      <c r="G31" s="94" t="s">
        <v>619</v>
      </c>
      <c r="H31" s="94" t="s">
        <v>620</v>
      </c>
      <c r="I31" s="1"/>
      <c r="J31" s="1"/>
      <c r="K31" s="1"/>
      <c r="L31" s="1"/>
    </row>
    <row r="32" customFormat="false" ht="18" hidden="false" customHeight="true" outlineLevel="0" collapsed="false">
      <c r="A32" s="1"/>
      <c r="B32" s="25" t="s">
        <v>621</v>
      </c>
      <c r="C32" s="135" t="s">
        <v>108</v>
      </c>
      <c r="D32" s="25" t="s">
        <v>362</v>
      </c>
      <c r="E32" s="25" t="s">
        <v>109</v>
      </c>
      <c r="F32" s="25" t="s">
        <v>87</v>
      </c>
      <c r="G32" s="25" t="s">
        <v>362</v>
      </c>
      <c r="H32" s="137" t="s">
        <v>622</v>
      </c>
      <c r="I32" s="1"/>
      <c r="J32" s="1"/>
      <c r="K32" s="1"/>
      <c r="L32" s="1"/>
    </row>
    <row r="33" customFormat="false" ht="18" hidden="false" customHeight="true" outlineLevel="0" collapsed="false">
      <c r="A33" s="1"/>
      <c r="B33" s="25" t="s">
        <v>623</v>
      </c>
      <c r="C33" s="135" t="s">
        <v>110</v>
      </c>
      <c r="D33" s="25" t="s">
        <v>362</v>
      </c>
      <c r="E33" s="25" t="s">
        <v>109</v>
      </c>
      <c r="F33" s="25" t="s">
        <v>88</v>
      </c>
      <c r="G33" s="25" t="s">
        <v>362</v>
      </c>
      <c r="H33" s="137" t="s">
        <v>622</v>
      </c>
      <c r="I33" s="1"/>
      <c r="J33" s="1"/>
      <c r="K33" s="1"/>
      <c r="L33" s="1"/>
    </row>
    <row r="34" customFormat="false" ht="18" hidden="false" customHeight="true" outlineLevel="0" collapsed="false">
      <c r="A34" s="1"/>
      <c r="B34" s="25" t="s">
        <v>624</v>
      </c>
      <c r="C34" s="135" t="s">
        <v>111</v>
      </c>
      <c r="D34" s="25" t="s">
        <v>362</v>
      </c>
      <c r="E34" s="25" t="s">
        <v>112</v>
      </c>
      <c r="F34" s="25" t="s">
        <v>89</v>
      </c>
      <c r="G34" s="25" t="s">
        <v>362</v>
      </c>
      <c r="H34" s="137" t="s">
        <v>622</v>
      </c>
      <c r="I34" s="1"/>
      <c r="J34" s="1"/>
      <c r="K34" s="1"/>
      <c r="L34" s="1"/>
    </row>
    <row r="35" customFormat="false" ht="18" hidden="false" customHeight="true" outlineLevel="0" collapsed="false">
      <c r="A35" s="1"/>
      <c r="B35" s="25" t="s">
        <v>625</v>
      </c>
      <c r="C35" s="135" t="s">
        <v>113</v>
      </c>
      <c r="D35" s="25" t="s">
        <v>362</v>
      </c>
      <c r="E35" s="25" t="s">
        <v>109</v>
      </c>
      <c r="F35" s="25" t="s">
        <v>87</v>
      </c>
      <c r="G35" s="25" t="s">
        <v>362</v>
      </c>
      <c r="H35" s="137" t="s">
        <v>622</v>
      </c>
      <c r="I35" s="1"/>
      <c r="J35" s="1"/>
      <c r="K35" s="1"/>
      <c r="L35" s="1"/>
    </row>
    <row r="36" customFormat="false" ht="18" hidden="false" customHeight="true" outlineLevel="0" collapsed="false">
      <c r="A36" s="1"/>
      <c r="B36" s="25" t="s">
        <v>626</v>
      </c>
      <c r="C36" s="135" t="s">
        <v>114</v>
      </c>
      <c r="D36" s="25" t="s">
        <v>362</v>
      </c>
      <c r="E36" s="25" t="s">
        <v>109</v>
      </c>
      <c r="F36" s="25" t="s">
        <v>88</v>
      </c>
      <c r="G36" s="25" t="s">
        <v>362</v>
      </c>
      <c r="H36" s="137" t="s">
        <v>622</v>
      </c>
      <c r="I36" s="1"/>
      <c r="J36" s="1"/>
      <c r="K36" s="1"/>
      <c r="L36" s="1"/>
    </row>
    <row r="37" customFormat="false" ht="18" hidden="false" customHeight="true" outlineLevel="0" collapsed="false">
      <c r="A37" s="1"/>
      <c r="B37" s="25" t="s">
        <v>627</v>
      </c>
      <c r="C37" s="135" t="s">
        <v>115</v>
      </c>
      <c r="D37" s="25" t="s">
        <v>362</v>
      </c>
      <c r="E37" s="25" t="s">
        <v>109</v>
      </c>
      <c r="F37" s="25" t="s">
        <v>89</v>
      </c>
      <c r="G37" s="25" t="s">
        <v>362</v>
      </c>
      <c r="H37" s="137" t="s">
        <v>622</v>
      </c>
      <c r="I37" s="1"/>
      <c r="J37" s="1"/>
      <c r="K37" s="1"/>
      <c r="L37" s="1"/>
    </row>
    <row r="38" customFormat="false" ht="18" hidden="false" customHeight="true" outlineLevel="0" collapsed="false">
      <c r="A38" s="1"/>
      <c r="B38" s="25" t="s">
        <v>628</v>
      </c>
      <c r="C38" s="135" t="s">
        <v>120</v>
      </c>
      <c r="D38" s="25" t="s">
        <v>368</v>
      </c>
      <c r="E38" s="25" t="s">
        <v>121</v>
      </c>
      <c r="F38" s="25" t="s">
        <v>87</v>
      </c>
      <c r="G38" s="25" t="s">
        <v>368</v>
      </c>
      <c r="H38" s="137" t="s">
        <v>622</v>
      </c>
      <c r="I38" s="1"/>
      <c r="J38" s="1"/>
      <c r="K38" s="1"/>
      <c r="L38" s="1"/>
    </row>
    <row r="39" customFormat="false" ht="18" hidden="false" customHeight="true" outlineLevel="0" collapsed="false">
      <c r="A39" s="1"/>
      <c r="B39" s="25" t="s">
        <v>629</v>
      </c>
      <c r="C39" s="135" t="s">
        <v>122</v>
      </c>
      <c r="D39" s="25" t="s">
        <v>368</v>
      </c>
      <c r="E39" s="25" t="s">
        <v>112</v>
      </c>
      <c r="F39" s="25" t="s">
        <v>89</v>
      </c>
      <c r="G39" s="25" t="s">
        <v>368</v>
      </c>
      <c r="H39" s="137" t="s">
        <v>622</v>
      </c>
      <c r="I39" s="1"/>
      <c r="J39" s="1"/>
      <c r="K39" s="1"/>
      <c r="L39" s="1"/>
    </row>
    <row r="40" customFormat="false" ht="18" hidden="false" customHeight="true" outlineLevel="0" collapsed="false">
      <c r="A40" s="1"/>
      <c r="B40" s="25" t="s">
        <v>630</v>
      </c>
      <c r="C40" s="135" t="s">
        <v>123</v>
      </c>
      <c r="D40" s="25" t="s">
        <v>368</v>
      </c>
      <c r="E40" s="25" t="s">
        <v>121</v>
      </c>
      <c r="F40" s="25" t="s">
        <v>88</v>
      </c>
      <c r="G40" s="25" t="s">
        <v>368</v>
      </c>
      <c r="H40" s="137" t="s">
        <v>622</v>
      </c>
      <c r="I40" s="1"/>
      <c r="J40" s="1"/>
      <c r="K40" s="1"/>
      <c r="L40" s="1"/>
    </row>
    <row r="41" customFormat="false" ht="18" hidden="false" customHeight="true" outlineLevel="0" collapsed="false">
      <c r="A41" s="1"/>
      <c r="B41" s="25" t="s">
        <v>631</v>
      </c>
      <c r="C41" s="135" t="s">
        <v>124</v>
      </c>
      <c r="D41" s="25" t="s">
        <v>368</v>
      </c>
      <c r="E41" s="25" t="s">
        <v>121</v>
      </c>
      <c r="F41" s="25" t="s">
        <v>87</v>
      </c>
      <c r="G41" s="25" t="s">
        <v>368</v>
      </c>
      <c r="H41" s="137" t="s">
        <v>622</v>
      </c>
      <c r="I41" s="1"/>
      <c r="J41" s="1"/>
      <c r="K41" s="1"/>
      <c r="L41" s="1"/>
    </row>
    <row r="42" customFormat="false" ht="18" hidden="false" customHeight="true" outlineLevel="0" collapsed="false">
      <c r="A42" s="1"/>
      <c r="B42" s="25" t="s">
        <v>632</v>
      </c>
      <c r="C42" s="135" t="s">
        <v>125</v>
      </c>
      <c r="D42" s="25" t="s">
        <v>368</v>
      </c>
      <c r="E42" s="25" t="s">
        <v>112</v>
      </c>
      <c r="F42" s="25" t="s">
        <v>88</v>
      </c>
      <c r="G42" s="25" t="s">
        <v>368</v>
      </c>
      <c r="H42" s="137" t="s">
        <v>622</v>
      </c>
      <c r="I42" s="1"/>
      <c r="J42" s="1"/>
      <c r="K42" s="1"/>
      <c r="L42" s="1"/>
    </row>
    <row r="43" customFormat="false" ht="18" hidden="false" customHeight="true" outlineLevel="0" collapsed="false">
      <c r="A43" s="1"/>
      <c r="B43" s="25" t="s">
        <v>633</v>
      </c>
      <c r="C43" s="135" t="s">
        <v>126</v>
      </c>
      <c r="D43" s="25" t="s">
        <v>368</v>
      </c>
      <c r="E43" s="25" t="s">
        <v>121</v>
      </c>
      <c r="F43" s="25" t="s">
        <v>89</v>
      </c>
      <c r="G43" s="25" t="s">
        <v>368</v>
      </c>
      <c r="H43" s="137" t="s">
        <v>622</v>
      </c>
      <c r="I43" s="1"/>
      <c r="J43" s="1"/>
      <c r="K43" s="1"/>
      <c r="L43" s="1"/>
    </row>
    <row r="44" customFormat="false" ht="18" hidden="false" customHeight="true" outlineLevel="0" collapsed="false">
      <c r="A44" s="1"/>
      <c r="B44" s="25" t="s">
        <v>634</v>
      </c>
      <c r="C44" s="135" t="s">
        <v>116</v>
      </c>
      <c r="D44" s="25" t="s">
        <v>362</v>
      </c>
      <c r="E44" s="25" t="s">
        <v>112</v>
      </c>
      <c r="F44" s="25" t="s">
        <v>88</v>
      </c>
      <c r="G44" s="25" t="s">
        <v>362</v>
      </c>
      <c r="H44" s="137" t="s">
        <v>622</v>
      </c>
      <c r="I44" s="1"/>
      <c r="J44" s="1"/>
      <c r="K44" s="1"/>
      <c r="L44" s="1"/>
    </row>
    <row r="45" customFormat="false" ht="18" hidden="false" customHeight="true" outlineLevel="0" collapsed="false">
      <c r="A45" s="1"/>
      <c r="B45" s="25" t="s">
        <v>635</v>
      </c>
      <c r="C45" s="135" t="s">
        <v>117</v>
      </c>
      <c r="D45" s="25" t="s">
        <v>362</v>
      </c>
      <c r="E45" s="25" t="s">
        <v>112</v>
      </c>
      <c r="F45" s="25" t="s">
        <v>87</v>
      </c>
      <c r="G45" s="25" t="s">
        <v>362</v>
      </c>
      <c r="H45" s="137" t="s">
        <v>622</v>
      </c>
      <c r="I45" s="1"/>
      <c r="J45" s="1"/>
      <c r="K45" s="1"/>
      <c r="L45" s="1"/>
    </row>
    <row r="46" customFormat="false" ht="18" hidden="false" customHeight="true" outlineLevel="0" collapsed="false">
      <c r="A46" s="1"/>
      <c r="B46" s="25" t="s">
        <v>636</v>
      </c>
      <c r="C46" s="135" t="s">
        <v>127</v>
      </c>
      <c r="D46" s="25" t="s">
        <v>368</v>
      </c>
      <c r="E46" s="25" t="s">
        <v>112</v>
      </c>
      <c r="F46" s="25" t="s">
        <v>89</v>
      </c>
      <c r="G46" s="25" t="s">
        <v>368</v>
      </c>
      <c r="H46" s="137" t="s">
        <v>622</v>
      </c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25.5" hidden="false" customHeight="true" outlineLevel="0" collapsed="false">
      <c r="A49" s="1"/>
      <c r="B49" s="5" t="s">
        <v>637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24" hidden="false" customHeight="true" outlineLevel="0" collapsed="false">
      <c r="A50" s="1"/>
      <c r="B50" s="94" t="s">
        <v>638</v>
      </c>
      <c r="C50" s="94" t="s">
        <v>639</v>
      </c>
      <c r="D50" s="94" t="s">
        <v>640</v>
      </c>
      <c r="E50" s="1"/>
      <c r="F50" s="1"/>
      <c r="G50" s="1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25" t="s">
        <v>641</v>
      </c>
      <c r="C51" s="25" t="s">
        <v>87</v>
      </c>
      <c r="D51" s="25" t="s">
        <v>642</v>
      </c>
      <c r="E51" s="1"/>
      <c r="F51" s="1"/>
      <c r="G51" s="1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25" t="s">
        <v>643</v>
      </c>
      <c r="C52" s="25" t="s">
        <v>87</v>
      </c>
      <c r="D52" s="25" t="s">
        <v>642</v>
      </c>
      <c r="E52" s="1"/>
      <c r="F52" s="1"/>
      <c r="G52" s="1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25" t="s">
        <v>644</v>
      </c>
      <c r="C53" s="25" t="s">
        <v>88</v>
      </c>
      <c r="D53" s="25" t="s">
        <v>645</v>
      </c>
      <c r="E53" s="1"/>
      <c r="F53" s="1"/>
      <c r="G53" s="1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25" t="s">
        <v>646</v>
      </c>
      <c r="C54" s="25" t="s">
        <v>88</v>
      </c>
      <c r="D54" s="25" t="s">
        <v>645</v>
      </c>
      <c r="E54" s="1"/>
      <c r="F54" s="1"/>
      <c r="G54" s="1"/>
      <c r="H54" s="1"/>
      <c r="I54" s="1"/>
      <c r="J54" s="1"/>
      <c r="K54" s="1"/>
      <c r="L54" s="1"/>
    </row>
    <row r="55" customFormat="false" ht="18" hidden="false" customHeight="true" outlineLevel="0" collapsed="false">
      <c r="A55" s="1"/>
      <c r="B55" s="25" t="s">
        <v>647</v>
      </c>
      <c r="C55" s="25" t="s">
        <v>89</v>
      </c>
      <c r="D55" s="25" t="s">
        <v>648</v>
      </c>
      <c r="E55" s="1"/>
      <c r="F55" s="1"/>
      <c r="G55" s="1"/>
      <c r="H55" s="1"/>
      <c r="I55" s="1"/>
      <c r="J55" s="1"/>
      <c r="K55" s="1"/>
      <c r="L55" s="1"/>
    </row>
    <row r="56" customFormat="false" ht="18" hidden="false" customHeight="true" outlineLevel="0" collapsed="false">
      <c r="A56" s="1"/>
      <c r="B56" s="25" t="s">
        <v>649</v>
      </c>
      <c r="C56" s="25" t="s">
        <v>89</v>
      </c>
      <c r="D56" s="25" t="s">
        <v>648</v>
      </c>
      <c r="E56" s="1"/>
      <c r="F56" s="1"/>
      <c r="G56" s="1"/>
      <c r="H56" s="1"/>
      <c r="I56" s="1"/>
      <c r="J56" s="1"/>
      <c r="K56" s="1"/>
      <c r="L56" s="1"/>
    </row>
    <row r="57" customFormat="false" ht="18" hidden="false" customHeight="true" outlineLevel="0" collapsed="false">
      <c r="A57" s="1"/>
      <c r="B57" s="25" t="s">
        <v>650</v>
      </c>
      <c r="C57" s="25" t="s">
        <v>89</v>
      </c>
      <c r="D57" s="25" t="s">
        <v>648</v>
      </c>
      <c r="E57" s="1"/>
      <c r="F57" s="1"/>
      <c r="G57" s="1"/>
      <c r="H57" s="1"/>
      <c r="I57" s="1"/>
      <c r="J57" s="1"/>
      <c r="K57" s="1"/>
      <c r="L57" s="1"/>
    </row>
    <row r="58" customFormat="false" ht="18" hidden="false" customHeight="true" outlineLevel="0" collapsed="false">
      <c r="A58" s="1"/>
      <c r="B58" s="25" t="s">
        <v>651</v>
      </c>
      <c r="C58" s="25" t="s">
        <v>90</v>
      </c>
      <c r="D58" s="25" t="s">
        <v>652</v>
      </c>
      <c r="E58" s="1"/>
      <c r="F58" s="1"/>
      <c r="G58" s="1"/>
      <c r="H58" s="1"/>
      <c r="I58" s="1"/>
      <c r="J58" s="1"/>
      <c r="K58" s="1"/>
      <c r="L58" s="1"/>
    </row>
    <row r="59" customFormat="false" ht="18" hidden="false" customHeight="true" outlineLevel="0" collapsed="false">
      <c r="A59" s="1"/>
      <c r="B59" s="25" t="s">
        <v>653</v>
      </c>
      <c r="C59" s="25" t="s">
        <v>90</v>
      </c>
      <c r="D59" s="25" t="s">
        <v>652</v>
      </c>
      <c r="E59" s="1"/>
      <c r="F59" s="1"/>
      <c r="G59" s="1"/>
      <c r="H59" s="1"/>
      <c r="I59" s="1"/>
      <c r="J59" s="1"/>
      <c r="K59" s="1"/>
      <c r="L59" s="1"/>
    </row>
    <row r="60" customFormat="false" ht="18" hidden="false" customHeight="true" outlineLevel="0" collapsed="false">
      <c r="A60" s="1"/>
      <c r="B60" s="25" t="s">
        <v>654</v>
      </c>
      <c r="C60" s="25" t="s">
        <v>90</v>
      </c>
      <c r="D60" s="25" t="s">
        <v>652</v>
      </c>
      <c r="E60" s="1"/>
      <c r="F60" s="1"/>
      <c r="G60" s="1"/>
      <c r="H60" s="1"/>
      <c r="I60" s="1"/>
      <c r="J60" s="1"/>
      <c r="K60" s="1"/>
      <c r="L60" s="1"/>
    </row>
    <row r="61" customFormat="false" ht="18" hidden="false" customHeight="true" outlineLevel="0" collapsed="false">
      <c r="A61" s="1"/>
      <c r="B61" s="25" t="s">
        <v>655</v>
      </c>
      <c r="C61" s="25" t="s">
        <v>90</v>
      </c>
      <c r="D61" s="25" t="s">
        <v>652</v>
      </c>
      <c r="E61" s="1"/>
      <c r="F61" s="1"/>
      <c r="G61" s="1"/>
      <c r="H61" s="1"/>
      <c r="I61" s="1"/>
      <c r="J61" s="1"/>
      <c r="K61" s="1"/>
      <c r="L61" s="1"/>
    </row>
    <row r="62" customFormat="false" ht="18" hidden="false" customHeight="true" outlineLevel="0" collapsed="false">
      <c r="A62" s="1"/>
      <c r="B62" s="25" t="s">
        <v>656</v>
      </c>
      <c r="C62" s="25" t="s">
        <v>90</v>
      </c>
      <c r="D62" s="25" t="s">
        <v>652</v>
      </c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">
    <mergeCell ref="B2:N2"/>
    <mergeCell ref="B3:N3"/>
    <mergeCell ref="B5:F5"/>
    <mergeCell ref="B14:N14"/>
    <mergeCell ref="B30:N30"/>
    <mergeCell ref="B49:N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2026-07-02T16:04:15Z</dcterms:created>
  <dc:creator>Z.ai</dc:creator>
  <dc:description/>
  <dc:language>en-US</dc:language>
  <cp:lastModifiedBy/>
  <dcterms:modified xsi:type="dcterms:W3CDTF">2026-07-02T16:04:17Z</dcterms:modified>
  <cp:revision>1</cp:revision>
  <dc:subject/>
  <dc:title>Stripe × Xero Financial Dashboard FY2025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