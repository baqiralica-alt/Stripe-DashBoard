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xecutive_Summary" sheetId="2" state="visible" r:id="rId4"/>
    <sheet name="Revenue_Dashboard" sheetId="3" state="visible" r:id="rId5"/>
    <sheet name="Receivables_Aging" sheetId="4" state="visible" r:id="rId6"/>
    <sheet name="Meta_Expenses" sheetId="5" state="visible" r:id="rId7"/>
    <sheet name="PnL_Statement" sheetId="6" state="visible" r:id="rId8"/>
    <sheet name="Formula_Audit" sheetId="7" state="visible" r:id="rId9"/>
    <sheet name="Raw_Stripe" sheetId="8" state="visible" r:id="rId10"/>
    <sheet name="Raw_Xero" sheetId="9" state="visible" r:id="rId11"/>
    <sheet name="Raw_Bank" sheetId="10" state="visible" r:id="rId12"/>
    <sheet name="Raw_Meta" sheetId="11" state="visible" r:id="rId13"/>
    <sheet name="Settings_FX" sheetId="12" state="visible" r:id="rId14"/>
  </sheets>
  <definedNames>
    <definedName function="false" hidden="false" name="CUSTOMERS" vbProcedure="false">Settings_FX!$B$32:$H$46</definedName>
    <definedName function="false" hidden="false" name="FX_RATES" vbProcedure="false">Settings_FX!$B$16:$I$27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<sst xmlns="http://schemas.openxmlformats.org/spreadsheetml/2006/main" count="1187" uniqueCount="514">
  <si>
    <t xml:space="preserve">Stripe × Xero Financial Dashboard</t>
  </si>
  <si>
    <t xml:space="preserve">FY2025 · Multi-currency · Live formulas · Meta discount add-back</t>
  </si>
  <si>
    <t xml:space="preserve">  PURPOSE</t>
  </si>
  <si>
    <t xml:space="preserve">This workbook consolidates financial data from Stripe, Xero, Bank statements, and Meta (Facebook/WhatsApp) invoices into a single live-formula dashboard. It tracks revenue across WhatsApp, Subscription, and Development streams; monitors receivables for UAE and Singapore entities; and applies a special Meta discount add-back logic so each customer shows a single net Meta cost.
Every derived number is a live Excel formula — paste raw rows into the input sheets and every dashboard, KPI, and chart updates automatically.</t>
  </si>
  <si>
    <t xml:space="preserve">  DATA FLOW</t>
  </si>
  <si>
    <t xml:space="preserve">①  PASTE</t>
  </si>
  <si>
    <t xml:space="preserve">Raw_Stripe, Raw_Xero, Raw_Bank, Raw_Meta</t>
  </si>
  <si>
    <t xml:space="preserve">Drop your exports / CSV rows into these four input sheets.</t>
  </si>
  <si>
    <t xml:space="preserve">②  CONFIG</t>
  </si>
  <si>
    <t xml:space="preserve">Settings_FX</t>
  </si>
  <si>
    <t xml:space="preserve">Edit FX rates monthly, maintain customer master, set company names.</t>
  </si>
  <si>
    <t xml:space="preserve">③  CALCULATE</t>
  </si>
  <si>
    <t xml:space="preserve">Revenue_Dashboard, Meta_Expenses, PnL_Statement</t>
  </si>
  <si>
    <t xml:space="preserve">Live SUMIFS formulas aggregate raw rows by month, category, customer.</t>
  </si>
  <si>
    <t xml:space="preserve">④  MONITOR</t>
  </si>
  <si>
    <t xml:space="preserve">Receivables_Aging</t>
  </si>
  <si>
    <t xml:space="preserve">A/R aging by customer across UAE &amp; Singapore entities.</t>
  </si>
  <si>
    <t xml:space="preserve">⑤  REVIEW</t>
  </si>
  <si>
    <t xml:space="preserve">Executive_Summary</t>
  </si>
  <si>
    <t xml:space="preserve">KPI cards + trend charts for the leadership view.</t>
  </si>
  <si>
    <t xml:space="preserve">⑥  AUDIT</t>
  </si>
  <si>
    <t xml:space="preserve">Formula_Audit</t>
  </si>
  <si>
    <t xml:space="preserve">Every key formula listed with its description for transparency.</t>
  </si>
  <si>
    <t xml:space="preserve">  META DISCOUNT ADD-BACK LOGIC</t>
  </si>
  <si>
    <t xml:space="preserve">Meta invoices typically show:
   • Gross Billed (list price)
   • Discount Given (credit applied by Meta)
   • Net Paid (amount actually charged to your card = Gross − Discount)
Add-Back Formula:  Amount_With_AddBack = Net_Paid + Discount_Given
This reverses the discount so the dashboard shows the full gross charge per customer — useful for cost-pass-through billing and customer profitability analysis where the discount is yours, not your customer's.</t>
  </si>
  <si>
    <t xml:space="preserve">  MULTI-CURRENCY HANDLING</t>
  </si>
  <si>
    <t xml:space="preserve">Each raw transaction keeps its NATIVE currency (USD, AED, SGD, EUR).
A USD-equivalent column on every raw sheet converts via the monthly FX rate table in Settings_FX using:  Amount_USD = Amount × FX_Rate(month, currency).
Update the FX rate table once per month — every downstream USD total refreshes automatically. Native-currency subtotals are preserved on each dashboard for entity-level reporting (UAE books in AED, Singapore books in SGD).</t>
  </si>
  <si>
    <t xml:space="preserve">  SHEET DIRECTORY</t>
  </si>
  <si>
    <t xml:space="preserve">FX rates, customer master, company config</t>
  </si>
  <si>
    <t xml:space="preserve">Raw_Stripe</t>
  </si>
  <si>
    <t xml:space="preserve">Stripe transaction paste-zone</t>
  </si>
  <si>
    <t xml:space="preserve">Raw_Xero</t>
  </si>
  <si>
    <t xml:space="preserve">Xero journal paste-zone</t>
  </si>
  <si>
    <t xml:space="preserve">Raw_Bank</t>
  </si>
  <si>
    <t xml:space="preserve">Bank statement paste-zone</t>
  </si>
  <si>
    <t xml:space="preserve">Raw_Meta</t>
  </si>
  <si>
    <t xml:space="preserve">Meta invoice paste-zone</t>
  </si>
  <si>
    <t xml:space="preserve">Revenue_Dashboard</t>
  </si>
  <si>
    <t xml:space="preserve">Revenue by category × month + charts</t>
  </si>
  <si>
    <t xml:space="preserve">A/R aging by customer (UAE &amp; SG)</t>
  </si>
  <si>
    <t xml:space="preserve">Meta_Expenses</t>
  </si>
  <si>
    <t xml:space="preserve">Meta cost per customer with add-back</t>
  </si>
  <si>
    <t xml:space="preserve">PnL_Statement</t>
  </si>
  <si>
    <t xml:space="preserve">Monthly P&amp;L</t>
  </si>
  <si>
    <t xml:space="preserve">KPI cards + trend charts</t>
  </si>
  <si>
    <t xml:space="preserve">Every key formula documented</t>
  </si>
  <si>
    <t xml:space="preserve">Executive Summary  ·  FY2025 YTD</t>
  </si>
  <si>
    <t xml:space="preserve">Stripe × Xero consolidated financial snapshot — live from Raw sheets</t>
  </si>
  <si>
    <t xml:space="preserve">TOTAL REVENUE YTD</t>
  </si>
  <si>
    <t xml:space="preserve">TOTAL EXPENSES YTD</t>
  </si>
  <si>
    <t xml:space="preserve">NET PROFIT YTD</t>
  </si>
  <si>
    <t xml:space="preserve">GROSS MARGIN YTD</t>
  </si>
  <si>
    <t xml:space="preserve">NET PROFIT MARGIN</t>
  </si>
  <si>
    <t xml:space="preserve">A/R OUTSTANDING (USD)</t>
  </si>
  <si>
    <t xml:space="preserve">META COST YTD (ADD-BACK)</t>
  </si>
  <si>
    <t xml:space="preserve">META DISCOUNTS CAPTURED</t>
  </si>
  <si>
    <t xml:space="preserve">  MONTHLY SNAPSHOT</t>
  </si>
  <si>
    <t xml:space="preserve">Month</t>
  </si>
  <si>
    <t xml:space="preserve">Revenue</t>
  </si>
  <si>
    <t xml:space="preserve">Meta Cost</t>
  </si>
  <si>
    <t xml:space="preserve">OpEx</t>
  </si>
  <si>
    <t xml:space="preserve">Net Profit</t>
  </si>
  <si>
    <t xml:space="preserve">Margin %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</si>
  <si>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</si>
  <si>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</si>
  <si>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</si>
  <si>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</si>
  <si>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</si>
  <si>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</si>
  <si>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</si>
  <si>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</si>
  <si>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</si>
  <si>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</si>
  <si>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</si>
  <si>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</si>
  <si>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YTD TOTAL</t>
  </si>
  <si>
    <t xml:space="preserve">  REVENUE vs EXPENSES TREND</t>
  </si>
  <si>
    <t xml:space="preserve">  NET PROFIT BY MONTH</t>
  </si>
  <si>
    <t xml:space="preserve">Revenue Dashboard  ·  FY2025</t>
  </si>
  <si>
    <t xml:space="preserve">Live SUMIFS by category × month — auto-updates from Raw_Stripe</t>
  </si>
  <si>
    <t xml:space="preserve">  REVENUE BY CATEGORY × MONTH  (USD equivalent)</t>
  </si>
  <si>
    <t xml:space="preserve">Category</t>
  </si>
  <si>
    <t xml:space="preserve">YTD Total</t>
  </si>
  <si>
    <t xml:space="preserve">WhatsApp</t>
  </si>
  <si>
    <t xml:space="preserve">Subscription</t>
  </si>
  <si>
    <t xml:space="preserve">Development</t>
  </si>
  <si>
    <t xml:space="preserve">TOTAL REVENUE</t>
  </si>
  <si>
    <t xml:space="preserve">MoM Growth %</t>
  </si>
  <si>
    <t xml:space="preserve">—</t>
  </si>
  <si>
    <t xml:space="preserve">  REVENUE TREND CHART  (clustered bar — categories × months)</t>
  </si>
  <si>
    <t xml:space="preserve">Receivables Aging  ·  UAE &amp; Singapore</t>
  </si>
  <si>
    <t xml:space="preserve">Outstanding by customer, bucketed by invoice age — live from Raw_Stripe</t>
  </si>
  <si>
    <t xml:space="preserve">  UAE Company  (UAE)</t>
  </si>
  <si>
    <t xml:space="preserve">Customer</t>
  </si>
  <si>
    <t xml:space="preserve">Total Outstanding</t>
  </si>
  <si>
    <t xml:space="preserve">Current (0-30)</t>
  </si>
  <si>
    <t xml:space="preserve">31-60 days</t>
  </si>
  <si>
    <t xml:space="preserve">60+ days</t>
  </si>
  <si>
    <t xml:space="preserve">Currency</t>
  </si>
  <si>
    <t xml:space="preserve">USD Equivalent</t>
  </si>
  <si>
    <t xml:space="preserve">% of Total</t>
  </si>
  <si>
    <t xml:space="preserve">Oldest Inv.</t>
  </si>
  <si>
    <t xml:space="preserve">Status</t>
  </si>
  <si>
    <t xml:space="preserve">Alphabet Logistics LLC</t>
  </si>
  <si>
    <t xml:space="preserve">AED</t>
  </si>
  <si>
    <t xml:space="preserve">Emirates Retail Group</t>
  </si>
  <si>
    <t xml:space="preserve">Gulf Tech Distribution</t>
  </si>
  <si>
    <t xml:space="preserve">USD</t>
  </si>
  <si>
    <t xml:space="preserve">Dubai Properties Co</t>
  </si>
  <si>
    <t xml:space="preserve">Abu Dhabi Trading</t>
  </si>
  <si>
    <t xml:space="preserve">Rak Bank Digital</t>
  </si>
  <si>
    <t xml:space="preserve">Global SaaS Inc</t>
  </si>
  <si>
    <t xml:space="preserve">Mena Apps FZ-LLC</t>
  </si>
  <si>
    <t xml:space="preserve">TOTAL UAE</t>
  </si>
  <si>
    <t xml:space="preserve">  Singapore Company  (SG)</t>
  </si>
  <si>
    <t xml:space="preserve">Singapore FinTech Hub</t>
  </si>
  <si>
    <t xml:space="preserve">SGD</t>
  </si>
  <si>
    <t xml:space="preserve">Asia Pacific Solutions</t>
  </si>
  <si>
    <t xml:space="preserve">Marina Bay Holdings</t>
  </si>
  <si>
    <t xml:space="preserve">Lion City Media</t>
  </si>
  <si>
    <t xml:space="preserve">Sentosa E-Commerce</t>
  </si>
  <si>
    <t xml:space="preserve">Orchard Retail Pte</t>
  </si>
  <si>
    <t xml:space="preserve">Jakarta Digital Ventures</t>
  </si>
  <si>
    <t xml:space="preserve">TOTAL SG</t>
  </si>
  <si>
    <t xml:space="preserve">  COMBINED A/R SUMMARY</t>
  </si>
  <si>
    <t xml:space="preserve">Total UAE Outstanding (USD)</t>
  </si>
  <si>
    <t xml:space="preserve">Total SG Outstanding (USD)</t>
  </si>
  <si>
    <t xml:space="preserve">Combined Outstanding (USD)</t>
  </si>
  <si>
    <t xml:space="preserve">Customers with 60+ days A/R</t>
  </si>
  <si>
    <t xml:space="preserve">Meta Expenses  ·  With Discount Add-Back</t>
  </si>
  <si>
    <t xml:space="preserve">Per-customer Meta cost: Net Paid + Discount Given = Amount With Add-Back (USD)</t>
  </si>
  <si>
    <t xml:space="preserve">  PER-CUSTOMER META COST  (USD equivalent, with add-back)</t>
  </si>
  <si>
    <t xml:space="preserve">Gross Billed</t>
  </si>
  <si>
    <t xml:space="preserve">Discount Given</t>
  </si>
  <si>
    <t xml:space="preserve">Net Paid</t>
  </si>
  <si>
    <t xml:space="preserve">Amount With AddBack</t>
  </si>
  <si>
    <t xml:space="preserve">% Discount</t>
  </si>
  <si>
    <t xml:space="preserve"># Invoices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</si>
  <si>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</si>
  <si>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</si>
  <si>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</si>
  <si>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</si>
  <si>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</si>
  <si>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</si>
  <si>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Jul-Aug-Dec</t>
  </si>
  <si>
    <t xml:space="preserve">TOTAL</t>
  </si>
  <si>
    <t xml:space="preserve">  MONTHLY META COST TREND  (USD with add-back)</t>
  </si>
  <si>
    <t xml:space="preserve">Net Paid USD</t>
  </si>
  <si>
    <t xml:space="preserve">Discount USD</t>
  </si>
  <si>
    <t xml:space="preserve">AddBack USD</t>
  </si>
  <si>
    <t xml:space="preserve">  META COST CHART  (Net Paid vs Add-Back, monthly)</t>
  </si>
  <si>
    <t xml:space="preserve">P&amp;L Statement  ·  Monthly FY2025</t>
  </si>
  <si>
    <t xml:space="preserve">Revenue − Meta Costs − Stripe Fees − OpEx (Xero) − Bank Charges = Net Profit</t>
  </si>
  <si>
    <t xml:space="preserve">  PROFIT &amp; LOSS  (USD equivalent)</t>
  </si>
  <si>
    <t xml:space="preserve">Line Item</t>
  </si>
  <si>
    <t xml:space="preserve">% Rev</t>
  </si>
  <si>
    <t xml:space="preserve">  WhatsApp Revenue</t>
  </si>
  <si>
    <t xml:space="preserve">  Subscription Revenue</t>
  </si>
  <si>
    <t xml:space="preserve">  Development Revenue</t>
  </si>
  <si>
    <t xml:space="preserve">COST OF REVENUE</t>
  </si>
  <si>
    <t xml:space="preserve">  Meta Cost (with add-back)</t>
  </si>
  <si>
    <t xml:space="preserve">Total COGS</t>
  </si>
  <si>
    <t xml:space="preserve">GROSS PROFIT</t>
  </si>
  <si>
    <t xml:space="preserve">OPERATING EXPENSES</t>
  </si>
  <si>
    <t xml:space="preserve">  Stripe Processing Fees</t>
  </si>
  <si>
    <t xml:space="preserve">  Bank Charges</t>
  </si>
  <si>
    <t xml:space="preserve">  Salaries &amp; Wages</t>
  </si>
  <si>
    <t xml:space="preserve">  Office Rent</t>
  </si>
  <si>
    <t xml:space="preserve">  Utilities</t>
  </si>
  <si>
    <t xml:space="preserve">Total Operating Expenses</t>
  </si>
  <si>
    <t xml:space="preserve">NET PROFIT</t>
  </si>
  <si>
    <t xml:space="preserve">  Net Profit Margin %</t>
  </si>
  <si>
    <t xml:space="preserve">  P&amp;L TREND  (Revenue, Total OpEx, Net Profit)</t>
  </si>
  <si>
    <t xml:space="preserve">Formula Audit Trail</t>
  </si>
  <si>
    <t xml:space="preserve">Every key live formula in the workbook — transparency &amp; verification</t>
  </si>
  <si>
    <t xml:space="preserve">  KEY FORMULAS BY SHEET</t>
  </si>
  <si>
    <t xml:space="preserve">Sheet</t>
  </si>
  <si>
    <t xml:space="preserve">Cell(s)</t>
  </si>
  <si>
    <t xml:space="preserve">Formula</t>
  </si>
  <si>
    <t xml:space="preserve">Description</t>
  </si>
  <si>
    <t xml:space="preserve">H6:H33</t>
  </si>
  <si>
    <t xml:space="preserve">'=F*INDEX(Settings_FX!$C$16:$I$27, MATCH(TEXT(C,"mmm-yy"),Settings_FX!$B$16:$B$27,0), MATCH(G,Settings_FX!$C$15:$I$15,0))</t>
  </si>
  <si>
    <t xml:space="preserve">Converts native-currency amount to USD using the monthly FX rate table.</t>
  </si>
  <si>
    <t xml:space="preserve">J6:J33</t>
  </si>
  <si>
    <t xml:space="preserve">'=F-I  (Amount − Stripe Fee)</t>
  </si>
  <si>
    <t xml:space="preserve">Net amount after Stripe processing fee deducted.</t>
  </si>
  <si>
    <t xml:space="preserve">L6:L33</t>
  </si>
  <si>
    <t xml:space="preserve">'=J-K  (Net Amount − Amount Received)</t>
  </si>
  <si>
    <t xml:space="preserve">Outstanding A/R — drives the Receivables_Aging sheet.</t>
  </si>
  <si>
    <t xml:space="preserve">M6:M33</t>
  </si>
  <si>
    <t xml:space="preserve">'=TEXT(C,"mmm-yy")</t>
  </si>
  <si>
    <t xml:space="preserve">Derives the month label (Jan-25, Feb-25…) used by SUMIFS in dashboards.</t>
  </si>
  <si>
    <t xml:space="preserve">K6:K28</t>
  </si>
  <si>
    <t xml:space="preserve">'=I+H  (Net Paid + Discount Given)</t>
  </si>
  <si>
    <t xml:space="preserve">★ META ADD-BACK LOGIC — reverses Meta's discount to show the full gross charge per customer.</t>
  </si>
  <si>
    <t xml:space="preserve">L6:L28</t>
  </si>
  <si>
    <t xml:space="preserve">'=K*INDEX(...) MATCH(currency)</t>
  </si>
  <si>
    <t xml:space="preserve">Converts the add-back amount to USD using monthly FX rates.</t>
  </si>
  <si>
    <t xml:space="preserve">B16:I27</t>
  </si>
  <si>
    <t xml:space="preserve">(editable FX rate table)</t>
  </si>
  <si>
    <t xml:space="preserve">User-maintained table: 1 unit of currency = X USD. Update monthly.</t>
  </si>
  <si>
    <t xml:space="preserve">B32:H46</t>
  </si>
  <si>
    <t xml:space="preserve">(customer master table)</t>
  </si>
  <si>
    <t xml:space="preserve">Maps customer name → entity (UAE/SG), default currency, primary category.</t>
  </si>
  <si>
    <t xml:space="preserve">C7:N9</t>
  </si>
  <si>
    <t xml:space="preserve">'=SUMIFS(Raw_Stripe!$H:$H, Raw_Stripe!$M:$M, "Jan-25", Raw_Stripe!$N:$N, "WhatsApp")</t>
  </si>
  <si>
    <t xml:space="preserve">Sums USD-equivalent Stripe revenue by month and category (WhatsApp/Subscription/Development).</t>
  </si>
  <si>
    <t xml:space="preserve">O7:O9</t>
  </si>
  <si>
    <t xml:space="preserve">'=SUM(C:N) for the row</t>
  </si>
  <si>
    <t xml:space="preserve">YTD total per category.</t>
  </si>
  <si>
    <t xml:space="preserve">C10:N10</t>
  </si>
  <si>
    <t xml:space="preserve">'=SUM(C7:C9)</t>
  </si>
  <si>
    <t xml:space="preserve">Total monthly revenue across all three categories.</t>
  </si>
  <si>
    <t xml:space="preserve">D11:N11</t>
  </si>
  <si>
    <t xml:space="preserve">'=IFERROR((D10/C10)-1, "-")</t>
  </si>
  <si>
    <t xml:space="preserve">Month-over-month revenue growth %. Conditional formatting: green positive, red negative.</t>
  </si>
  <si>
    <t xml:space="preserve">C7</t>
  </si>
  <si>
    <t xml:space="preserve">'=SUMIFS(Raw_Stripe!$L:$L, Raw_Stripe!$D:$D, B7, Raw_Stripe!$O:$O, "UAE")</t>
  </si>
  <si>
    <t xml:space="preserve">Total outstanding A/R for a single UAE customer.</t>
  </si>
  <si>
    <t xml:space="preserve">D7</t>
  </si>
  <si>
    <t xml:space="preserve">'=SUMIFS(Raw_Stripe!$L:$L, ..., Raw_Stripe!$C:$C, "&gt;="&amp;(TODAY()-30))</t>
  </si>
  <si>
    <t xml:space="preserve">Current bucket — invoice date within last 30 days.</t>
  </si>
  <si>
    <t xml:space="preserve">E7</t>
  </si>
  <si>
    <t xml:space="preserve">'=SUMIFS(..., Raw_Stripe!$C:$C, "&gt;="&amp;(TODAY()-60), Raw_Stripe!$C:$C, "&lt;"&amp;(TODAY()-30))</t>
  </si>
  <si>
    <t xml:space="preserve">31-60 day bucket.</t>
  </si>
  <si>
    <t xml:space="preserve">F7</t>
  </si>
  <si>
    <t xml:space="preserve">'=SUMIFS(..., Raw_Stripe!$C:$C, "&lt;"&amp;(TODAY()-60))</t>
  </si>
  <si>
    <t xml:space="preserve">60+ day bucket — flagged red in dashboard.</t>
  </si>
  <si>
    <t xml:space="preserve">I7</t>
  </si>
  <si>
    <t xml:space="preserve">'=IFERROR(C7/$C$tr, 0)</t>
  </si>
  <si>
    <t xml:space="preserve">% of entity total outstanding for this customer.</t>
  </si>
  <si>
    <t xml:space="preserve">'=SUMIFS(Raw_Meta!$L:$L, Raw_Meta!$E:$E, B7)</t>
  </si>
  <si>
    <t xml:space="preserve">Per-customer Meta cost in USD (with add-back) — the 'single amount per customer' figure.</t>
  </si>
  <si>
    <t xml:space="preserve">'=IFERROR(SUMIFS(L,E,B)*SUMIFS(H,E,B)/SUMIFS(G,E,B), 0)</t>
  </si>
  <si>
    <t xml:space="preserve">Per-customer Meta discount given, converted to USD using the customer's blended FX rate.</t>
  </si>
  <si>
    <t xml:space="preserve">'=C-D  (Gross − Discount)</t>
  </si>
  <si>
    <t xml:space="preserve">Per-customer net paid to Meta, in USD.</t>
  </si>
  <si>
    <t xml:space="preserve">'=C  (same as Gross USD)</t>
  </si>
  <si>
    <t xml:space="preserve">★ Amount With Add-Back USD per customer — drives the per-customer billing view.</t>
  </si>
  <si>
    <t xml:space="preserve">G7</t>
  </si>
  <si>
    <t xml:space="preserve">'=IFERROR(D/C, 0)</t>
  </si>
  <si>
    <t xml:space="preserve">Discount % — what fraction of gross Meta gave back as discount.</t>
  </si>
  <si>
    <t xml:space="preserve">Monthly revenue per category — same logic as Revenue_Dashboard.</t>
  </si>
  <si>
    <t xml:space="preserve">C13:N13</t>
  </si>
  <si>
    <t xml:space="preserve">'=SUMIFS(Raw_Meta!$L:$L, Raw_Meta!$N:$N, "Jan-25")</t>
  </si>
  <si>
    <t xml:space="preserve">Monthly Meta cost WITH add-back — this is COGS in the P&amp;L.</t>
  </si>
  <si>
    <t xml:space="preserve">C15:N15</t>
  </si>
  <si>
    <t xml:space="preserve">'=C10-C14  (Revenue − COGS)</t>
  </si>
  <si>
    <t xml:space="preserve">Gross profit per month.</t>
  </si>
  <si>
    <t xml:space="preserve">C18:N18</t>
  </si>
  <si>
    <t xml:space="preserve">'=SUMIFS(Raw_Stripe!$I:$I, Raw_Stripe!$M:$M, "Jan-25")</t>
  </si>
  <si>
    <t xml:space="preserve">Monthly Stripe processing fees.</t>
  </si>
  <si>
    <t xml:space="preserve">C19:N19</t>
  </si>
  <si>
    <t xml:space="preserve">'=SUMIFS(Raw_Bank!$H:$H, Raw_Bank!$J:$J, "Jan-25", Raw_Bank!$E:$E, "&gt;0")</t>
  </si>
  <si>
    <t xml:space="preserve">Monthly bank charges (debits) in USD.</t>
  </si>
  <si>
    <t xml:space="preserve">C20:N20</t>
  </si>
  <si>
    <t xml:space="preserve">'=SUMIFS(Raw_Xero!$I:$I, Raw_Xero!$K:$K, "Jan-25", Raw_Xero!$C:$C, "5000")</t>
  </si>
  <si>
    <t xml:space="preserve">Monthly salaries (Xero account 5000) in USD.</t>
  </si>
  <si>
    <t xml:space="preserve">C25:N25</t>
  </si>
  <si>
    <t xml:space="preserve">'=C15-C23  (Gross Profit − Total OpEx)</t>
  </si>
  <si>
    <t xml:space="preserve">Monthly NET PROFIT. Conditional formatting: green positive, red negative.</t>
  </si>
  <si>
    <t xml:space="preserve">C26:N26</t>
  </si>
  <si>
    <t xml:space="preserve">'=IFERROR(C25/C10, 0)</t>
  </si>
  <si>
    <t xml:space="preserve">Monthly net profit margin %.</t>
  </si>
  <si>
    <t xml:space="preserve">B6</t>
  </si>
  <si>
    <t xml:space="preserve">'=PnL_Statement!O10</t>
  </si>
  <si>
    <t xml:space="preserve">YTD Total Revenue — pulled from P&amp;L statement grand total.</t>
  </si>
  <si>
    <t xml:space="preserve">E6</t>
  </si>
  <si>
    <t xml:space="preserve">'=PnL_Statement!O14 + PnL_Statement!O23</t>
  </si>
  <si>
    <t xml:space="preserve">YTD Total Expenses = COGS + OpEx.</t>
  </si>
  <si>
    <t xml:space="preserve">H6</t>
  </si>
  <si>
    <t xml:space="preserve">'=PnL_Statement!O25</t>
  </si>
  <si>
    <t xml:space="preserve">YTD Net Profit.</t>
  </si>
  <si>
    <t xml:space="preserve">K6</t>
  </si>
  <si>
    <t xml:space="preserve">'=PnL_Statement!P15</t>
  </si>
  <si>
    <t xml:space="preserve">YTD Gross Margin %.</t>
  </si>
  <si>
    <t xml:space="preserve">E9</t>
  </si>
  <si>
    <t xml:space="preserve">'=SUM(Raw_Stripe!L:L)</t>
  </si>
  <si>
    <t xml:space="preserve">Total A/R Outstanding across all customers.</t>
  </si>
  <si>
    <t xml:space="preserve">H9</t>
  </si>
  <si>
    <t xml:space="preserve">'=SUM(Raw_Meta!L:L)</t>
  </si>
  <si>
    <t xml:space="preserve">YTD Meta Cost with add-back.</t>
  </si>
  <si>
    <t xml:space="preserve">★ = Meta discount add-back logic (the unique feature of this dashboard).  All other formulas follow standard SUMIFS / INDEX-MATCH patterns.  Edit any blue input cell — every dependent formula refreshes automatically.</t>
  </si>
  <si>
    <t xml:space="preserve">Raw Stripe Transactions</t>
  </si>
  <si>
    <t xml:space="preserve">Paste Stripe export rows below — formulas in grey columns auto-calculate</t>
  </si>
  <si>
    <t xml:space="preserve">Txn ID</t>
  </si>
  <si>
    <t xml:space="preserve">Date</t>
  </si>
  <si>
    <t xml:space="preserve">Amount</t>
  </si>
  <si>
    <t xml:space="preserve">Amount USD</t>
  </si>
  <si>
    <t xml:space="preserve">Stripe Fee</t>
  </si>
  <si>
    <t xml:space="preserve">Net Amount</t>
  </si>
  <si>
    <t xml:space="preserve">Amount Received</t>
  </si>
  <si>
    <t xml:space="preserve">Outstanding</t>
  </si>
  <si>
    <t xml:space="preserve">Entity</t>
  </si>
  <si>
    <t xml:space="preserve">ch_001</t>
  </si>
  <si>
    <t xml:space="preserve">WABA msgs Jan</t>
  </si>
  <si>
    <t xml:space="preserve">UAE</t>
  </si>
  <si>
    <t xml:space="preserve">Paid</t>
  </si>
  <si>
    <t xml:space="preserve">ch_002</t>
  </si>
  <si>
    <t xml:space="preserve">Sub monthly Jan</t>
  </si>
  <si>
    <t xml:space="preserve">ch_003</t>
  </si>
  <si>
    <t xml:space="preserve">Dev hourly 40h</t>
  </si>
  <si>
    <t xml:space="preserve">ch_004</t>
  </si>
  <si>
    <t xml:space="preserve">SG</t>
  </si>
  <si>
    <t xml:space="preserve">ch_005</t>
  </si>
  <si>
    <t xml:space="preserve">Sub annual</t>
  </si>
  <si>
    <t xml:space="preserve">ch_006</t>
  </si>
  <si>
    <t xml:space="preserve">WABA topup</t>
  </si>
  <si>
    <t xml:space="preserve">ch_007</t>
  </si>
  <si>
    <t xml:space="preserve">WABA msgs Feb</t>
  </si>
  <si>
    <t xml:space="preserve">ch_008</t>
  </si>
  <si>
    <t xml:space="preserve">Sub monthly Feb</t>
  </si>
  <si>
    <t xml:space="preserve">ch_009</t>
  </si>
  <si>
    <t xml:space="preserve">Dev fixed phase 2</t>
  </si>
  <si>
    <t xml:space="preserve">ch_010</t>
  </si>
  <si>
    <t xml:space="preserve">ch_011</t>
  </si>
  <si>
    <t xml:space="preserve">WABA msgs Mar</t>
  </si>
  <si>
    <t xml:space="preserve">ch_012</t>
  </si>
  <si>
    <t xml:space="preserve">Sub monthly Mar</t>
  </si>
  <si>
    <t xml:space="preserve">ch_013</t>
  </si>
  <si>
    <t xml:space="preserve">Dev retainer Mar</t>
  </si>
  <si>
    <t xml:space="preserve">ch_014</t>
  </si>
  <si>
    <t xml:space="preserve">Dev fixed Q1</t>
  </si>
  <si>
    <t xml:space="preserve">ch_015</t>
  </si>
  <si>
    <t xml:space="preserve">ch_016</t>
  </si>
  <si>
    <t xml:space="preserve">WABA msgs Apr</t>
  </si>
  <si>
    <t xml:space="preserve">Partial</t>
  </si>
  <si>
    <t xml:space="preserve">ch_017</t>
  </si>
  <si>
    <t xml:space="preserve">Sub monthly Apr</t>
  </si>
  <si>
    <t xml:space="preserve">ch_018</t>
  </si>
  <si>
    <t xml:space="preserve">ch_019</t>
  </si>
  <si>
    <t xml:space="preserve">WABA msgs May</t>
  </si>
  <si>
    <t xml:space="preserve">ch_020</t>
  </si>
  <si>
    <t xml:space="preserve">Dev retainer May</t>
  </si>
  <si>
    <t xml:space="preserve">ch_021</t>
  </si>
  <si>
    <t xml:space="preserve">Sub monthly May</t>
  </si>
  <si>
    <t xml:space="preserve">ch_022</t>
  </si>
  <si>
    <t xml:space="preserve">WABA msgs Jun</t>
  </si>
  <si>
    <t xml:space="preserve">ch_023</t>
  </si>
  <si>
    <t xml:space="preserve">ch_024</t>
  </si>
  <si>
    <t xml:space="preserve">ch_025</t>
  </si>
  <si>
    <t xml:space="preserve">Dev fixed Q3</t>
  </si>
  <si>
    <t xml:space="preserve">ch_026</t>
  </si>
  <si>
    <t xml:space="preserve">WABA msgs Jul</t>
  </si>
  <si>
    <t xml:space="preserve">ch_027</t>
  </si>
  <si>
    <t xml:space="preserve">WABA msgs Aug</t>
  </si>
  <si>
    <t xml:space="preserve">ch_028</t>
  </si>
  <si>
    <t xml:space="preserve">Dev retainer Sep</t>
  </si>
  <si>
    <t xml:space="preserve">Blue cells = paste from Stripe export · Italic grey cells = live formulas · Add new rows above the TOTAL row to keep formulas intact.</t>
  </si>
  <si>
    <t xml:space="preserve">Raw Xero Journal Entries</t>
  </si>
  <si>
    <t xml:space="preserve">Paste Xero trial balance / journal export — opex &amp; bank charges flow to P&amp;L</t>
  </si>
  <si>
    <t xml:space="preserve">Account Code</t>
  </si>
  <si>
    <t xml:space="preserve">Account Name</t>
  </si>
  <si>
    <t xml:space="preserve">Debit</t>
  </si>
  <si>
    <t xml:space="preserve">Credit</t>
  </si>
  <si>
    <t xml:space="preserve">4000</t>
  </si>
  <si>
    <t xml:space="preserve">Office Rent</t>
  </si>
  <si>
    <t xml:space="preserve">Jan office rent</t>
  </si>
  <si>
    <t xml:space="preserve">5000</t>
  </si>
  <si>
    <t xml:space="preserve">Salaries</t>
  </si>
  <si>
    <t xml:space="preserve">Jan payroll</t>
  </si>
  <si>
    <t xml:space="preserve">6100</t>
  </si>
  <si>
    <t xml:space="preserve">Utilities</t>
  </si>
  <si>
    <t xml:space="preserve">Jan utilities</t>
  </si>
  <si>
    <t xml:space="preserve">Feb office rent</t>
  </si>
  <si>
    <t xml:space="preserve">Feb payroll</t>
  </si>
  <si>
    <t xml:space="preserve">Feb utilities</t>
  </si>
  <si>
    <t xml:space="preserve">Mar office rent</t>
  </si>
  <si>
    <t xml:space="preserve">Mar payroll</t>
  </si>
  <si>
    <t xml:space="preserve">Mar utilities</t>
  </si>
  <si>
    <t xml:space="preserve">Jan SG rent</t>
  </si>
  <si>
    <t xml:space="preserve">Jan SG payroll</t>
  </si>
  <si>
    <t xml:space="preserve">Feb SG rent</t>
  </si>
  <si>
    <t xml:space="preserve">Feb SG payroll</t>
  </si>
  <si>
    <t xml:space="preserve">Mar SG rent</t>
  </si>
  <si>
    <t xml:space="preserve">Mar SG payroll</t>
  </si>
  <si>
    <t xml:space="preserve">Apr office rent</t>
  </si>
  <si>
    <t xml:space="preserve">Apr payroll</t>
  </si>
  <si>
    <t xml:space="preserve">Apr SG rent</t>
  </si>
  <si>
    <t xml:space="preserve">Apr SG payroll</t>
  </si>
  <si>
    <t xml:space="preserve">May office rent</t>
  </si>
  <si>
    <t xml:space="preserve">May payroll</t>
  </si>
  <si>
    <t xml:space="preserve">Jun office rent</t>
  </si>
  <si>
    <t xml:space="preserve">Jun payroll</t>
  </si>
  <si>
    <t xml:space="preserve">Jul office rent</t>
  </si>
  <si>
    <t xml:space="preserve">Jul payroll</t>
  </si>
  <si>
    <t xml:space="preserve">Raw Bank Statements</t>
  </si>
  <si>
    <t xml:space="preserve">Paste bank statement rows — used for cash flow &amp; bank charge reconciliation</t>
  </si>
  <si>
    <t xml:space="preserve">Account</t>
  </si>
  <si>
    <t xml:space="preserve">Stripe payout ch_001-005</t>
  </si>
  <si>
    <t xml:space="preserve">Mashreq UAE</t>
  </si>
  <si>
    <t xml:space="preserve">Stripe payout ch_003</t>
  </si>
  <si>
    <t xml:space="preserve">DBS SG</t>
  </si>
  <si>
    <t xml:space="preserve">Bank maintenance fee</t>
  </si>
  <si>
    <t xml:space="preserve">Wire transfer fee</t>
  </si>
  <si>
    <t xml:space="preserve">Stripe payout ch_007-010</t>
  </si>
  <si>
    <t xml:space="preserve">Stripe payout ch_009</t>
  </si>
  <si>
    <t xml:space="preserve">Stripe payout ch_011-015</t>
  </si>
  <si>
    <t xml:space="preserve">Stripe payout ch_014</t>
  </si>
  <si>
    <t xml:space="preserve">Stripe payout ch_016-018</t>
  </si>
  <si>
    <t xml:space="preserve">Stripe payout ch_019-021</t>
  </si>
  <si>
    <t xml:space="preserve">Stripe payout ch_020</t>
  </si>
  <si>
    <t xml:space="preserve">Stripe payout ch_022-024</t>
  </si>
  <si>
    <t xml:space="preserve">Stripe payout ch_025-026</t>
  </si>
  <si>
    <t xml:space="preserve">Stripe payout ch_025</t>
  </si>
  <si>
    <t xml:space="preserve">Stripe payout ch_027</t>
  </si>
  <si>
    <t xml:space="preserve">Stripe payout ch_028</t>
  </si>
  <si>
    <t xml:space="preserve">Raw Meta Invoices  (with discount add-back)</t>
  </si>
  <si>
    <t xml:space="preserve">Net_Paid + Discount_Given = Amount With Add-Back · allocated per customer</t>
  </si>
  <si>
    <t xml:space="preserve">Add-Back Logic:  Amount With AddBack = Net Paid + Discount Given  →  shows full gross charge per customer</t>
  </si>
  <si>
    <t xml:space="preserve">Invoice #</t>
  </si>
  <si>
    <t xml:space="preserve">Invoice Date</t>
  </si>
  <si>
    <t xml:space="preserve">Period</t>
  </si>
  <si>
    <t xml:space="preserve">Campaign</t>
  </si>
  <si>
    <t xml:space="preserve">INV-M-001</t>
  </si>
  <si>
    <t xml:space="preserve">WABA Jan promo</t>
  </si>
  <si>
    <t xml:space="preserve">INV-M-002</t>
  </si>
  <si>
    <t xml:space="preserve">Retargeting Jan</t>
  </si>
  <si>
    <t xml:space="preserve">INV-M-003</t>
  </si>
  <si>
    <t xml:space="preserve">Lead Gen Jan</t>
  </si>
  <si>
    <t xml:space="preserve">INV-M-004</t>
  </si>
  <si>
    <t xml:space="preserve">WABA Jan SG</t>
  </si>
  <si>
    <t xml:space="preserve">INV-M-005</t>
  </si>
  <si>
    <t xml:space="preserve">WABA Feb promo</t>
  </si>
  <si>
    <t xml:space="preserve">INV-M-006</t>
  </si>
  <si>
    <t xml:space="preserve">Retargeting Feb</t>
  </si>
  <si>
    <t xml:space="preserve">INV-M-007</t>
  </si>
  <si>
    <t xml:space="preserve">Lead Gen Feb</t>
  </si>
  <si>
    <t xml:space="preserve">INV-M-008</t>
  </si>
  <si>
    <t xml:space="preserve">WABA Mar promo</t>
  </si>
  <si>
    <t xml:space="preserve">INV-M-009</t>
  </si>
  <si>
    <t xml:space="preserve">Conversion Mar</t>
  </si>
  <si>
    <t xml:space="preserve">INV-M-010</t>
  </si>
  <si>
    <t xml:space="preserve">Brand Mar</t>
  </si>
  <si>
    <t xml:space="preserve">INV-M-011</t>
  </si>
  <si>
    <t xml:space="preserve">Lead Gen Mar SG</t>
  </si>
  <si>
    <t xml:space="preserve">INV-M-012</t>
  </si>
  <si>
    <t xml:space="preserve">WABA Mar SG</t>
  </si>
  <si>
    <t xml:space="preserve">INV-M-013</t>
  </si>
  <si>
    <t xml:space="preserve">WABA Apr promo</t>
  </si>
  <si>
    <t xml:space="preserve">INV-M-014</t>
  </si>
  <si>
    <t xml:space="preserve">Catalog Apr</t>
  </si>
  <si>
    <t xml:space="preserve">INV-M-015</t>
  </si>
  <si>
    <t xml:space="preserve">WABA May promo</t>
  </si>
  <si>
    <t xml:space="preserve">INV-M-016</t>
  </si>
  <si>
    <t xml:space="preserve">Lead Gen May</t>
  </si>
  <si>
    <t xml:space="preserve">INV-M-017</t>
  </si>
  <si>
    <t xml:space="preserve">Subscription ads May</t>
  </si>
  <si>
    <t xml:space="preserve">INV-M-018</t>
  </si>
  <si>
    <t xml:space="preserve">WABA Jun promo</t>
  </si>
  <si>
    <t xml:space="preserve">INV-M-019</t>
  </si>
  <si>
    <t xml:space="preserve">App install Jun</t>
  </si>
  <si>
    <t xml:space="preserve">INV-M-020</t>
  </si>
  <si>
    <t xml:space="preserve">Retail Jul SG</t>
  </si>
  <si>
    <t xml:space="preserve">INV-M-021</t>
  </si>
  <si>
    <t xml:space="preserve">WABA Jul promo</t>
  </si>
  <si>
    <t xml:space="preserve">INV-M-022</t>
  </si>
  <si>
    <t xml:space="preserve">WABA Aug SG</t>
  </si>
  <si>
    <t xml:space="preserve">INV-M-023</t>
  </si>
  <si>
    <t xml:space="preserve">Lead Gen Sep SG</t>
  </si>
  <si>
    <t xml:space="preserve">Settings &amp; FX Rates</t>
  </si>
  <si>
    <t xml:space="preserve">Edit blue cells only — yellow highlights = key assumptions</t>
  </si>
  <si>
    <t xml:space="preserve">  A · COMPANY SETTINGS</t>
  </si>
  <si>
    <t xml:space="preserve">UAE Company Name</t>
  </si>
  <si>
    <t xml:space="preserve">Acme FZ-LLC</t>
  </si>
  <si>
    <t xml:space="preserve">Singapore Company Name</t>
  </si>
  <si>
    <t xml:space="preserve">Acme Pte Ltd</t>
  </si>
  <si>
    <t xml:space="preserve">Reporting Base Currency</t>
  </si>
  <si>
    <t xml:space="preserve">Stripe Account Currency</t>
  </si>
  <si>
    <t xml:space="preserve">Stripe Fee % (typical)</t>
  </si>
  <si>
    <t xml:space="preserve">Stripe Fixed Fee</t>
  </si>
  <si>
    <t xml:space="preserve">  B · FX RATES TO USD  (editable — update monthly)</t>
  </si>
  <si>
    <t xml:space="preserve">EUR</t>
  </si>
  <si>
    <t xml:space="preserve">GBP</t>
  </si>
  <si>
    <t xml:space="preserve">INR</t>
  </si>
  <si>
    <t xml:space="preserve">PKR</t>
  </si>
  <si>
    <t xml:space="preserve">  C · CUSTOMER MASTER</t>
  </si>
  <si>
    <t xml:space="preserve">Customer ID</t>
  </si>
  <si>
    <t xml:space="preserve">Customer Name</t>
  </si>
  <si>
    <t xml:space="preserve">Default Currency</t>
  </si>
  <si>
    <t xml:space="preserve">Primary Category</t>
  </si>
  <si>
    <t xml:space="preserve">Country</t>
  </si>
  <si>
    <t xml:space="preserve">Active?</t>
  </si>
  <si>
    <t xml:space="preserve">C001</t>
  </si>
  <si>
    <t xml:space="preserve">Yes</t>
  </si>
  <si>
    <t xml:space="preserve">C002</t>
  </si>
  <si>
    <t xml:space="preserve">C003</t>
  </si>
  <si>
    <t xml:space="preserve">C004</t>
  </si>
  <si>
    <t xml:space="preserve">C005</t>
  </si>
  <si>
    <t xml:space="preserve">C006</t>
  </si>
  <si>
    <t xml:space="preserve">C007</t>
  </si>
  <si>
    <t xml:space="preserve">C008</t>
  </si>
  <si>
    <t xml:space="preserve">C009</t>
  </si>
  <si>
    <t xml:space="preserve">C010</t>
  </si>
  <si>
    <t xml:space="preserve">C011</t>
  </si>
  <si>
    <t xml:space="preserve">C012</t>
  </si>
  <si>
    <t xml:space="preserve">C013</t>
  </si>
  <si>
    <t xml:space="preserve">C014</t>
  </si>
  <si>
    <t xml:space="preserve">C015</t>
  </si>
  <si>
    <t xml:space="preserve">  D · REVENUE CATEGORY MAPPING  (Stripe tag → Category)</t>
  </si>
  <si>
    <t xml:space="preserve">Stripe Tag / SKU</t>
  </si>
  <si>
    <t xml:space="preserve">Revenue Category</t>
  </si>
  <si>
    <t xml:space="preserve">P&amp;L Line</t>
  </si>
  <si>
    <t xml:space="preserve">waba_msg</t>
  </si>
  <si>
    <t xml:space="preserve">WhatsApp Revenue</t>
  </si>
  <si>
    <t xml:space="preserve">waba_setup</t>
  </si>
  <si>
    <t xml:space="preserve">sub_monthly</t>
  </si>
  <si>
    <t xml:space="preserve">Subscription Revenue</t>
  </si>
  <si>
    <t xml:space="preserve">sub_annual</t>
  </si>
  <si>
    <t xml:space="preserve">dev_hourly</t>
  </si>
  <si>
    <t xml:space="preserve">Development Revenue</t>
  </si>
  <si>
    <t xml:space="preserve">dev_fixed</t>
  </si>
  <si>
    <t xml:space="preserve">dev_retainer</t>
  </si>
  <si>
    <t xml:space="preserve">oneoff_service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</si>
</sst>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(\$* #,##0_);_(\$* \(#,##0\);_(\$* \-_);_(@_)"/>
    <numFmt numFmtId="166" formatCode="0.0%;\(0.0%\);\-"/>
    <numFmt numFmtId="167" formatCode="_(\$* #,##0.00_);_(\$* \(#,##0.00\);_(\$* \-??_);_(@_)"/>
    <numFmt numFmtId="168" formatCode="yyyy\-mm\-dd"/>
    <numFmt numFmtId="169" formatCode="#,##0;\(#,##0\);\-"/>
    <numFmt numFmtId="170" formatCode="0.00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E8EAED"/>
      <name val="Calibri"/>
      <family val="0"/>
      <charset val="1"/>
    </font>
    <font>
      <i val="true"/>
      <sz val="10"/>
      <color rgb="FF9AA0A6"/>
      <name val="Calibri"/>
      <family val="0"/>
      <charset val="1"/>
    </font>
    <font>
      <b val="true"/>
      <sz val="12"/>
      <color rgb="FFE8EAED"/>
      <name val="Calibri"/>
      <family val="0"/>
      <charset val="1"/>
    </font>
    <font>
      <sz val="11"/>
      <color rgb="FFE8EAED"/>
      <name val="Calibri"/>
      <family val="0"/>
      <charset val="1"/>
    </font>
    <font>
      <b val="true"/>
      <sz val="11"/>
      <color rgb="FF635BFF"/>
      <name val="Calibri"/>
      <family val="0"/>
      <charset val="1"/>
    </font>
    <font>
      <b val="true"/>
      <sz val="11"/>
      <color rgb="FFE8EAED"/>
      <name val="Calibri"/>
      <family val="0"/>
      <charset val="1"/>
    </font>
    <font>
      <sz val="10"/>
      <color rgb="FFE8EAED"/>
      <name val="Calibri"/>
      <family val="0"/>
      <charset val="1"/>
    </font>
    <font>
      <b val="true"/>
      <sz val="10"/>
      <color rgb="FF635BFF"/>
      <name val="Calibri"/>
      <family val="0"/>
      <charset val="1"/>
    </font>
    <font>
      <b val="true"/>
      <sz val="9"/>
      <color rgb="FFE8EAED"/>
      <name val="Calibri"/>
      <family val="0"/>
      <charset val="1"/>
    </font>
    <font>
      <b val="true"/>
      <sz val="20"/>
      <color rgb="FFE8EAED"/>
      <name val="Calibri"/>
      <family val="0"/>
      <charset val="1"/>
    </font>
    <font>
      <b val="true"/>
      <sz val="10"/>
      <color rgb="FFE8EAED"/>
      <name val="Calibri"/>
      <family val="0"/>
      <charset val="1"/>
    </font>
    <font>
      <b val="true"/>
      <sz val="10"/>
      <color rgb="FF00D924"/>
      <name val="Calibri"/>
      <family val="0"/>
      <charset val="1"/>
    </font>
    <font>
      <b val="true"/>
      <sz val="13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1F2937"/>
      <name val="Calibri"/>
      <family val="0"/>
      <charset val="1"/>
    </font>
    <font>
      <sz val="10"/>
      <color rgb="FF1F2937"/>
      <name val="Calibri"/>
      <family val="0"/>
      <charset val="1"/>
    </font>
    <font>
      <b val="true"/>
      <sz val="12"/>
      <color rgb="FF000000"/>
      <name val="Calibri"/>
      <family val="2"/>
    </font>
    <font>
      <b val="true"/>
      <sz val="10"/>
      <color rgb="FF1F2937"/>
      <name val="Calibri"/>
      <family val="0"/>
      <charset val="1"/>
    </font>
    <font>
      <b val="true"/>
      <sz val="10"/>
      <color rgb="FF92400E"/>
      <name val="Calibri"/>
      <family val="0"/>
      <charset val="1"/>
    </font>
    <font>
      <sz val="11"/>
      <color rgb="FF1F2937"/>
      <name val="Calibri"/>
      <family val="0"/>
      <charset val="1"/>
    </font>
    <font>
      <sz val="11"/>
      <color rgb="FF92400E"/>
      <name val="Calibri"/>
      <family val="0"/>
      <charset val="1"/>
    </font>
    <font>
      <sz val="10"/>
      <color rgb="FF92400E"/>
      <name val="Calibri"/>
      <family val="0"/>
      <charset val="1"/>
    </font>
    <font>
      <i val="true"/>
      <sz val="9"/>
      <color rgb="FF4F46E5"/>
      <name val="Calibri"/>
      <family val="0"/>
      <charset val="1"/>
    </font>
    <font>
      <i val="true"/>
      <sz val="9"/>
      <color rgb="FF9AA0A6"/>
      <name val="Calibri"/>
      <family val="0"/>
      <charset val="1"/>
    </font>
    <font>
      <sz val="10"/>
      <color rgb="FF2563EB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10"/>
      <color rgb="FF0BA84B"/>
      <name val="Calibri"/>
      <family val="0"/>
      <charset val="1"/>
    </font>
    <font>
      <b val="true"/>
      <sz val="10"/>
      <color rgb="FFFFB323"/>
      <name val="Calibri"/>
      <family val="0"/>
      <charset val="1"/>
    </font>
    <font>
      <i val="true"/>
      <sz val="9"/>
      <color rgb="FFE8EAED"/>
      <name val="Calibri"/>
      <family val="0"/>
      <charset val="1"/>
    </font>
    <font>
      <b val="true"/>
      <sz val="11"/>
      <color rgb="FF2563EB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16263F"/>
      </patternFill>
    </fill>
    <fill>
      <patternFill patternType="solid">
        <fgColor rgb="FF635BFF"/>
        <bgColor rgb="FF4F46E5"/>
      </patternFill>
    </fill>
    <fill>
      <patternFill patternType="solid">
        <fgColor rgb="FF1B2A4A"/>
        <bgColor rgb="FF16263F"/>
      </patternFill>
    </fill>
    <fill>
      <patternFill patternType="solid">
        <fgColor rgb="FF16263F"/>
        <bgColor rgb="FF1B2A4A"/>
      </patternFill>
    </fill>
    <fill>
      <patternFill patternType="solid">
        <fgColor rgb="FF4F46E5"/>
        <bgColor rgb="FF635BFF"/>
      </patternFill>
    </fill>
    <fill>
      <patternFill patternType="solid">
        <fgColor rgb="FF0BA84B"/>
        <bgColor rgb="FF008080"/>
      </patternFill>
    </fill>
    <fill>
      <patternFill patternType="solid">
        <fgColor rgb="FFFFB323"/>
        <bgColor rgb="FFFF9900"/>
      </patternFill>
    </fill>
    <fill>
      <patternFill patternType="solid">
        <fgColor rgb="FFFF5252"/>
        <bgColor rgb="FFFF8080"/>
      </patternFill>
    </fill>
    <fill>
      <patternFill patternType="solid">
        <fgColor rgb="FF1877F2"/>
        <bgColor rgb="FF2563EB"/>
      </patternFill>
    </fill>
    <fill>
      <patternFill patternType="solid">
        <fgColor rgb="FF92400E"/>
        <bgColor rgb="FF993366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E2E8F0"/>
        <bgColor rgb="FFE8EAED"/>
      </patternFill>
    </fill>
    <fill>
      <patternFill patternType="solid">
        <fgColor rgb="FFFEF3C7"/>
        <bgColor rgb="FFFDEDEC"/>
      </patternFill>
    </fill>
    <fill>
      <patternFill patternType="solid">
        <fgColor rgb="FFFDE68A"/>
        <bgColor rgb="FFFEF3C7"/>
      </patternFill>
    </fill>
    <fill>
      <patternFill patternType="solid">
        <fgColor rgb="FFEEF2FF"/>
        <bgColor rgb="FFF8FAFC"/>
      </patternFill>
    </fill>
    <fill>
      <patternFill patternType="solid">
        <fgColor rgb="FFE0E7FF"/>
        <bgColor rgb="FFE2E8F0"/>
      </patternFill>
    </fill>
    <fill>
      <patternFill patternType="solid">
        <fgColor rgb="FF00D924"/>
        <bgColor rgb="FF0BA84B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635BFF"/>
      </bottom>
      <diagonal/>
    </border>
    <border diagonalUp="false" diagonalDown="false">
      <left/>
      <right/>
      <top style="medium">
        <color rgb="FF635BF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4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3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5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2" fillId="1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8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9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9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8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8" fillId="1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3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2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0BA84B"/>
      </font>
      <fill>
        <patternFill>
          <bgColor rgb="FFDCFCE7"/>
        </patternFill>
      </fill>
    </dxf>
    <dxf>
      <font>
        <b val="1"/>
        <color rgb="FFFF5252"/>
      </font>
      <fill>
        <patternFill>
          <bgColor rgb="FFFEE2E2"/>
        </patternFill>
      </fill>
    </dxf>
    <dxf>
      <font>
        <b val="1"/>
        <color rgb="FFFFB323"/>
      </font>
      <fill>
        <patternFill>
          <bgColor rgb="FFFEF3C7"/>
        </patternFill>
      </fill>
    </dxf>
    <dxf>
      <font>
        <b val="1"/>
        <color rgb="FF00D924"/>
        <sz val="12"/>
      </font>
    </dxf>
    <dxf>
      <font>
        <b val="1"/>
        <color rgb="FFFF5252"/>
        <sz val="12"/>
      </font>
    </dxf>
    <dxf>
      <font>
        <b val="1"/>
        <color rgb="FFFF5252"/>
      </font>
      <fill>
        <patternFill>
          <bgColor rgb="FFFDEDEC"/>
        </patternFill>
      </fill>
    </dxf>
  </dxfs>
  <colors>
    <indexedColors>
      <rgbColor rgb="FF000000"/>
      <rgbColor rgb="FFFFFFFF"/>
      <rgbColor rgb="FFFF0000"/>
      <rgbColor rgb="FF00D924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E0E7FF"/>
      <rgbColor rgb="FF878787"/>
      <rgbColor rgb="FF635BFF"/>
      <rgbColor rgb="FF993366"/>
      <rgbColor rgb="FFFEF3C7"/>
      <rgbColor rgb="FFDCFCE7"/>
      <rgbColor rgb="FF660066"/>
      <rgbColor rgb="FFFF8080"/>
      <rgbColor rgb="FF1877F2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13C4E1"/>
      <rgbColor rgb="FFEEF2FF"/>
      <rgbColor rgb="FFE2E8F0"/>
      <rgbColor rgb="FFFDE68A"/>
      <rgbColor rgb="FFE8EAED"/>
      <rgbColor rgb="FFFDEDEC"/>
      <rgbColor rgb="FFF8FAFC"/>
      <rgbColor rgb="FFFEE2E2"/>
      <rgbColor rgb="FF2563EB"/>
      <rgbColor rgb="FF33CCCC"/>
      <rgbColor rgb="FF99CC00"/>
      <rgbColor rgb="FFFFB323"/>
      <rgbColor rgb="FFFF9900"/>
      <rgbColor rgb="FFFF5252"/>
      <rgbColor rgb="FF475569"/>
      <rgbColor rgb="FF9AA0A6"/>
      <rgbColor rgb="FF1B2A4A"/>
      <rgbColor rgb="FF0BA84B"/>
      <rgbColor rgb="FF0D1B2A"/>
      <rgbColor rgb="FF16263F"/>
      <rgbColor rgb="FF92400E"/>
      <rgbColor rgb="FF993366"/>
      <rgbColor rgb="FF4F46E5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· Meta · OpEx · Net Profit Trend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Executive_Summary!C14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635bff"/>
            </a:solidFill>
            <a:ln w="28080">
              <a:solidFill>
                <a:srgbClr val="635b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Executive_Summary!$C$15:$C$26</c:f>
              <c:numCache>
                <c:formatCode>_(\$* #,##0_);_(\$* \(#,##0\);_(\$* \-_);_(@_)</c:formatCode>
                <c:ptCount val="12"/>
                <c:pt idx="0">
                  <c:v>24784.46</c:v>
                </c:pt>
                <c:pt idx="1">
                  <c:v>16234.3</c:v>
                </c:pt>
                <c:pt idx="2">
                  <c:v>23120.94</c:v>
                </c:pt>
                <c:pt idx="3">
                  <c:v>3888.26</c:v>
                </c:pt>
                <c:pt idx="4">
                  <c:v>11173.47</c:v>
                </c:pt>
                <c:pt idx="5">
                  <c:v>31061.03</c:v>
                </c:pt>
                <c:pt idx="6">
                  <c:v>11466.71</c:v>
                </c:pt>
                <c:pt idx="7">
                  <c:v>2831</c:v>
                </c:pt>
                <c:pt idx="8">
                  <c:v>11200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Executive_Summary!D14</c:f>
              <c:strCache>
                <c:ptCount val="1"/>
                <c:pt idx="0">
                  <c:v>Meta Cost</c:v>
                </c:pt>
              </c:strCache>
            </c:strRef>
          </c:tx>
          <c:spPr>
            <a:solidFill>
              <a:srgbClr val="1877f2"/>
            </a:solidFill>
            <a:ln w="28080">
              <a:solidFill>
                <a:srgbClr val="1877f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Executive_Summary!$D$15:$D$26</c:f>
              <c:numCache>
                <c:formatCode>_(\$* #,##0_);_(\$* \(#,##0\);_(\$* \-_);_(@_)</c:formatCode>
                <c:ptCount val="12"/>
                <c:pt idx="0">
                  <c:v>19700</c:v>
                </c:pt>
                <c:pt idx="1">
                  <c:v>16300</c:v>
                </c:pt>
                <c:pt idx="2">
                  <c:v>30300</c:v>
                </c:pt>
                <c:pt idx="3">
                  <c:v>9300</c:v>
                </c:pt>
                <c:pt idx="4">
                  <c:v>17300</c:v>
                </c:pt>
                <c:pt idx="5">
                  <c:v>12400</c:v>
                </c:pt>
                <c:pt idx="6">
                  <c:v>14000</c:v>
                </c:pt>
                <c:pt idx="7">
                  <c:v>4500</c:v>
                </c:pt>
                <c:pt idx="8">
                  <c:v>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Executive_Summary!E14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ffb323"/>
            </a:solidFill>
            <a:ln w="28080">
              <a:solidFill>
                <a:srgbClr val="ffb3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Executive_Summary!$E$15:$E$26</c:f>
              <c:numCache>
                <c:formatCode>_(\$* #,##0_);_(\$* \(#,##0\);_(\$* \-_);_(@_)</c:formatCode>
                <c:ptCount val="12"/>
                <c:pt idx="0">
                  <c:v>39527.015</c:v>
                </c:pt>
                <c:pt idx="1">
                  <c:v>40419.25</c:v>
                </c:pt>
                <c:pt idx="2">
                  <c:v>42379.69</c:v>
                </c:pt>
                <c:pt idx="3">
                  <c:v>42191.57</c:v>
                </c:pt>
                <c:pt idx="4">
                  <c:v>18697.1</c:v>
                </c:pt>
                <c:pt idx="5">
                  <c:v>20075.97</c:v>
                </c:pt>
                <c:pt idx="6">
                  <c:v>20854.65</c:v>
                </c:pt>
                <c:pt idx="7">
                  <c:v>114.5</c:v>
                </c:pt>
                <c:pt idx="8">
                  <c:v>297.97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Executive_Summary!F14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28080">
              <a:solidFill>
                <a:srgbClr val="00d92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Executive_Summary!$F$15:$F$26</c:f>
              <c:numCache>
                <c:formatCode>_(\$* #,##0_);_(\$* \(#,##0\);_(\$* \-_);_(@_)</c:formatCode>
                <c:ptCount val="12"/>
                <c:pt idx="0">
                  <c:v>-34442.555</c:v>
                </c:pt>
                <c:pt idx="1">
                  <c:v>-40484.95</c:v>
                </c:pt>
                <c:pt idx="2">
                  <c:v>-49558.75</c:v>
                </c:pt>
                <c:pt idx="3">
                  <c:v>-47603.31</c:v>
                </c:pt>
                <c:pt idx="4">
                  <c:v>-24823.63</c:v>
                </c:pt>
                <c:pt idx="5">
                  <c:v>-1414.94</c:v>
                </c:pt>
                <c:pt idx="6">
                  <c:v>-23387.94</c:v>
                </c:pt>
                <c:pt idx="7">
                  <c:v>-1783.5</c:v>
                </c:pt>
                <c:pt idx="8">
                  <c:v>1102.03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084168"/>
        <c:axId val="48349110"/>
      </c:lineChart>
      <c:catAx>
        <c:axId val="83084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8349110"/>
        <c:crosses val="autoZero"/>
        <c:auto val="1"/>
        <c:lblAlgn val="ctr"/>
        <c:lblOffset val="100"/>
        <c:noMultiLvlLbl val="0"/>
      </c:catAx>
      <c:valAx>
        <c:axId val="483491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30841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Net Profit by Month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Executive_Summary!F14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Executive_Summary!$B$15:$B$26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Executive_Summary!$F$15:$F$26</c:f>
              <c:numCache>
                <c:formatCode>_(\$* #,##0_);_(\$* \(#,##0\);_(\$* \-_);_(@_)</c:formatCode>
                <c:ptCount val="12"/>
                <c:pt idx="0">
                  <c:v>-34442.555</c:v>
                </c:pt>
                <c:pt idx="1">
                  <c:v>-40484.95</c:v>
                </c:pt>
                <c:pt idx="2">
                  <c:v>-49558.75</c:v>
                </c:pt>
                <c:pt idx="3">
                  <c:v>-47603.31</c:v>
                </c:pt>
                <c:pt idx="4">
                  <c:v>-24823.63</c:v>
                </c:pt>
                <c:pt idx="5">
                  <c:v>-1414.94</c:v>
                </c:pt>
                <c:pt idx="6">
                  <c:v>-23387.94</c:v>
                </c:pt>
                <c:pt idx="7">
                  <c:v>-1783.5</c:v>
                </c:pt>
                <c:pt idx="8">
                  <c:v>1102.03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overlap val="0"/>
        <c:axId val="95124782"/>
        <c:axId val="7937281"/>
      </c:barChart>
      <c:catAx>
        <c:axId val="951247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37281"/>
        <c:crosses val="autoZero"/>
        <c:auto val="1"/>
        <c:lblAlgn val="ctr"/>
        <c:lblOffset val="100"/>
        <c:noMultiLvlLbl val="0"/>
      </c:catAx>
      <c:valAx>
        <c:axId val="7937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51247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by Category — Monthly FY2025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Revenue_Dashboard!B7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rgbClr val="635bff"/>
            </a:solidFill>
            <a:ln w="0">
              <a:solidFill>
                <a:srgbClr val="635bf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635bff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Revenue_Dashboard!$C$7:$N$7</c:f>
              <c:numCache>
                <c:formatCode>_(\$* #,##0_);_(\$* \(#,##0\);_(\$* \-_);_(@_)</c:formatCode>
                <c:ptCount val="12"/>
                <c:pt idx="0">
                  <c:v>4202.01</c:v>
                </c:pt>
                <c:pt idx="1">
                  <c:v>3825.85</c:v>
                </c:pt>
                <c:pt idx="2">
                  <c:v>4625.64</c:v>
                </c:pt>
                <c:pt idx="3">
                  <c:v>1279.81</c:v>
                </c:pt>
                <c:pt idx="4">
                  <c:v>1334.27</c:v>
                </c:pt>
                <c:pt idx="5">
                  <c:v>7061.03</c:v>
                </c:pt>
                <c:pt idx="6">
                  <c:v>1415.96</c:v>
                </c:pt>
                <c:pt idx="7">
                  <c:v>2831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Revenue_Dashboard!B8</c:f>
              <c:strCache>
                <c:ptCount val="1"/>
                <c:pt idx="0">
                  <c:v>Subscription</c:v>
                </c:pt>
              </c:strCache>
            </c:strRef>
          </c:tx>
          <c:spPr>
            <a:solidFill>
              <a:srgbClr val="00d924"/>
            </a:solidFill>
            <a:ln w="0">
              <a:solidFill>
                <a:srgbClr val="00d92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00d924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Revenue_Dashboard!$C$8:$N$8</c:f>
              <c:numCache>
                <c:formatCode>_(\$* #,##0_);_(\$* \(#,##0\);_(\$* \-_);_(@_)</c:formatCode>
                <c:ptCount val="12"/>
                <c:pt idx="0">
                  <c:v>13782.45</c:v>
                </c:pt>
                <c:pt idx="1">
                  <c:v>408.45</c:v>
                </c:pt>
                <c:pt idx="2">
                  <c:v>408.45</c:v>
                </c:pt>
                <c:pt idx="3">
                  <c:v>2608.45</c:v>
                </c:pt>
                <c:pt idx="4">
                  <c:v>1339.2</c:v>
                </c:pt>
                <c:pt idx="5">
                  <c:v>24000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Revenue_Dashboard!B9</c:f>
              <c:strCache>
                <c:ptCount val="1"/>
                <c:pt idx="0">
                  <c:v>Development</c:v>
                </c:pt>
              </c:strCache>
            </c:strRef>
          </c:tx>
          <c:spPr>
            <a:solidFill>
              <a:srgbClr val="ffb323"/>
            </a:solidFill>
            <a:ln w="0">
              <a:solidFill>
                <a:srgbClr val="ffb32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fb323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Revenue_Dashboard!$C$6:$N$6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Revenue_Dashboard!$C$9:$N$9</c:f>
              <c:numCache>
                <c:formatCode>_(\$* #,##0_);_(\$* \(#,##0\);_(\$* \-_);_(@_)</c:formatCode>
                <c:ptCount val="12"/>
                <c:pt idx="0">
                  <c:v>6800</c:v>
                </c:pt>
                <c:pt idx="1">
                  <c:v>12000</c:v>
                </c:pt>
                <c:pt idx="2">
                  <c:v>18086.85</c:v>
                </c:pt>
                <c:pt idx="3">
                  <c:v>0</c:v>
                </c:pt>
                <c:pt idx="4">
                  <c:v>8500</c:v>
                </c:pt>
                <c:pt idx="5">
                  <c:v>0</c:v>
                </c:pt>
                <c:pt idx="6">
                  <c:v>10050.75</c:v>
                </c:pt>
                <c:pt idx="7">
                  <c:v>0</c:v>
                </c:pt>
                <c:pt idx="8">
                  <c:v>11200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overlap val="-20"/>
        <c:axId val="96772301"/>
        <c:axId val="3878312"/>
      </c:barChart>
      <c:catAx>
        <c:axId val="967723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78312"/>
        <c:crosses val="autoZero"/>
        <c:auto val="1"/>
        <c:lblAlgn val="ctr"/>
        <c:lblOffset val="100"/>
        <c:noMultiLvlLbl val="0"/>
      </c:catAx>
      <c:valAx>
        <c:axId val="38783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772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2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Revenue Mix — YTD FY2025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635bff"/>
              </a:solidFill>
              <a:ln w="0">
                <a:noFill/>
              </a:ln>
            </c:spPr>
          </c:dPt>
          <c:dPt>
            <c:idx val="1"/>
            <c:spPr>
              <a:solidFill>
                <a:srgbClr val="00d92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b32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Revenue_Dashboard!$B$7:$B$9</c:f>
              <c:strCache>
                <c:ptCount val="3"/>
                <c:pt idx="0">
                  <c:v>WhatsApp</c:v>
                </c:pt>
                <c:pt idx="1">
                  <c:v>Subscription</c:v>
                </c:pt>
                <c:pt idx="2">
                  <c:v>Development</c:v>
                </c:pt>
              </c:strCache>
            </c:strRef>
          </c:cat>
          <c:val>
            <c:numRef>
              <c:f>Revenue_Dashboard!$O$7:$O$9</c:f>
              <c:numCache>
                <c:formatCode>_(\$* #,##0_);_(\$* \(#,##0\);_(\$* \-_);_(@_)</c:formatCode>
                <c:ptCount val="3"/>
                <c:pt idx="0">
                  <c:v>26575.57</c:v>
                </c:pt>
                <c:pt idx="1">
                  <c:v>42547</c:v>
                </c:pt>
                <c:pt idx="2">
                  <c:v>66637.6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Meta Cost: Net Paid vs Discount vs Add-Back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Meta_Expenses!C25</c:f>
              <c:strCache>
                <c:ptCount val="1"/>
                <c:pt idx="0">
                  <c:v>Net Paid USD</c:v>
                </c:pt>
              </c:strCache>
            </c:strRef>
          </c:tx>
          <c:spPr>
            <a:solidFill>
              <a:srgbClr val="635b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Meta_Expenses!$C$26:$C$37</c:f>
              <c:numCache>
                <c:formatCode>_(\$* #,##0.00_);_(\$* \(#,##0.00\);_(\$* \-??_);_(@_)</c:formatCode>
                <c:ptCount val="12"/>
                <c:pt idx="0">
                  <c:v>18100</c:v>
                </c:pt>
                <c:pt idx="1">
                  <c:v>14950</c:v>
                </c:pt>
                <c:pt idx="2">
                  <c:v>27650</c:v>
                </c:pt>
                <c:pt idx="3">
                  <c:v>8450</c:v>
                </c:pt>
                <c:pt idx="4">
                  <c:v>15750</c:v>
                </c:pt>
                <c:pt idx="5">
                  <c:v>11250</c:v>
                </c:pt>
                <c:pt idx="6">
                  <c:v>12700</c:v>
                </c:pt>
                <c:pt idx="7">
                  <c:v>4100</c:v>
                </c:pt>
                <c:pt idx="8">
                  <c:v>9000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Meta_Expenses!D25</c:f>
              <c:strCache>
                <c:ptCount val="1"/>
                <c:pt idx="0">
                  <c:v>Discount USD</c:v>
                </c:pt>
              </c:strCache>
            </c:strRef>
          </c:tx>
          <c:spPr>
            <a:solidFill>
              <a:srgbClr val="ffb3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Meta_Expenses!$D$26:$D$37</c:f>
              <c:numCache>
                <c:formatCode>_(\$* #,##0.00_);_(\$* \(#,##0.00\);_(\$* \-??_);_(@_)</c:formatCode>
                <c:ptCount val="12"/>
                <c:pt idx="0">
                  <c:v>1600</c:v>
                </c:pt>
                <c:pt idx="1">
                  <c:v>1350</c:v>
                </c:pt>
                <c:pt idx="2">
                  <c:v>2650</c:v>
                </c:pt>
                <c:pt idx="3">
                  <c:v>850</c:v>
                </c:pt>
                <c:pt idx="4">
                  <c:v>1550</c:v>
                </c:pt>
                <c:pt idx="5">
                  <c:v>1150</c:v>
                </c:pt>
                <c:pt idx="6">
                  <c:v>1300</c:v>
                </c:pt>
                <c:pt idx="7">
                  <c:v>400</c:v>
                </c:pt>
                <c:pt idx="8">
                  <c:v>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Meta_Expenses!E25</c:f>
              <c:strCache>
                <c:ptCount val="1"/>
                <c:pt idx="0">
                  <c:v>AddBack USD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Meta_Expenses!$B$26:$B$37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Meta_Expenses!$E$26:$E$37</c:f>
              <c:numCache>
                <c:formatCode>_(\$* #,##0.00_);_(\$* \(#,##0.00\);_(\$* \-??_);_(@_)</c:formatCode>
                <c:ptCount val="12"/>
                <c:pt idx="0">
                  <c:v>19700</c:v>
                </c:pt>
                <c:pt idx="1">
                  <c:v>16300</c:v>
                </c:pt>
                <c:pt idx="2">
                  <c:v>30300</c:v>
                </c:pt>
                <c:pt idx="3">
                  <c:v>9300</c:v>
                </c:pt>
                <c:pt idx="4">
                  <c:v>17300</c:v>
                </c:pt>
                <c:pt idx="5">
                  <c:v>12400</c:v>
                </c:pt>
                <c:pt idx="6">
                  <c:v>14000</c:v>
                </c:pt>
                <c:pt idx="7">
                  <c:v>4500</c:v>
                </c:pt>
                <c:pt idx="8">
                  <c:v>9800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overlap val="0"/>
        <c:axId val="26602835"/>
        <c:axId val="51675239"/>
      </c:barChart>
      <c:catAx>
        <c:axId val="266028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675239"/>
        <c:crosses val="autoZero"/>
        <c:auto val="1"/>
        <c:lblAlgn val="ctr"/>
        <c:lblOffset val="100"/>
        <c:noMultiLvlLbl val="0"/>
      </c:catAx>
      <c:valAx>
        <c:axId val="516752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.00_);_(\$* \(#,##0.00\);_(\$* \-??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6028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300" strike="noStrike" u="none">
                <a:solidFill>
                  <a:srgbClr val="000000"/>
                </a:solidFill>
                <a:uFillTx/>
                <a:latin typeface="Calibri"/>
                <a:ea typeface="Calibri"/>
              </a:rPr>
              <a:t>P&amp;L Trend — Monthly FY2025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PnL_Statement!$B$10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635bf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PnL_Statement!$C$10:$N$10</c:f>
              <c:numCache>
                <c:formatCode>_(\$* #,##0_);_(\$* \(#,##0\);_(\$* \-_);_(@_)</c:formatCode>
                <c:ptCount val="12"/>
                <c:pt idx="0">
                  <c:v>24784.46</c:v>
                </c:pt>
                <c:pt idx="1">
                  <c:v>16234.3</c:v>
                </c:pt>
                <c:pt idx="2">
                  <c:v>23120.94</c:v>
                </c:pt>
                <c:pt idx="3">
                  <c:v>3888.26</c:v>
                </c:pt>
                <c:pt idx="4">
                  <c:v>11173.47</c:v>
                </c:pt>
                <c:pt idx="5">
                  <c:v>31061.03</c:v>
                </c:pt>
                <c:pt idx="6">
                  <c:v>11466.71</c:v>
                </c:pt>
                <c:pt idx="7">
                  <c:v>2831</c:v>
                </c:pt>
                <c:pt idx="8">
                  <c:v>11200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strRef>
              <c:f>PnL_Statement!$B$23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rgbClr val="ffb323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PnL_Statement!$C$23:$N$23</c:f>
              <c:numCache>
                <c:formatCode>_(\$* #,##0_);_(\$* \(#,##0\);_(\$* \-_);_(@_)</c:formatCode>
                <c:ptCount val="12"/>
                <c:pt idx="0">
                  <c:v>39527.015</c:v>
                </c:pt>
                <c:pt idx="1">
                  <c:v>40419.25</c:v>
                </c:pt>
                <c:pt idx="2">
                  <c:v>42379.69</c:v>
                </c:pt>
                <c:pt idx="3">
                  <c:v>42191.57</c:v>
                </c:pt>
                <c:pt idx="4">
                  <c:v>18697.1</c:v>
                </c:pt>
                <c:pt idx="5">
                  <c:v>20075.97</c:v>
                </c:pt>
                <c:pt idx="6">
                  <c:v>20854.65</c:v>
                </c:pt>
                <c:pt idx="7">
                  <c:v>114.5</c:v>
                </c:pt>
                <c:pt idx="8">
                  <c:v>297.97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2"/>
          <c:order val="2"/>
          <c:tx>
            <c:strRef>
              <c:f>PnL_Statement!$B$25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00d92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PnL_Statement!$C$6:$N$6</c:f>
              <c:strCache>
                <c:ptCount val="12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</c:strCache>
            </c:strRef>
          </c:cat>
          <c:val>
            <c:numRef>
              <c:f>PnL_Statement!$C$25:$N$25</c:f>
              <c:numCache>
                <c:formatCode>_(\$* #,##0_);_(\$* \(#,##0\);_(\$* \-_);_(@_)</c:formatCode>
                <c:ptCount val="12"/>
                <c:pt idx="0">
                  <c:v>-34442.555</c:v>
                </c:pt>
                <c:pt idx="1">
                  <c:v>-40484.95</c:v>
                </c:pt>
                <c:pt idx="2">
                  <c:v>-49558.75</c:v>
                </c:pt>
                <c:pt idx="3">
                  <c:v>-47603.31</c:v>
                </c:pt>
                <c:pt idx="4">
                  <c:v>-24823.63</c:v>
                </c:pt>
                <c:pt idx="5">
                  <c:v>-1414.94</c:v>
                </c:pt>
                <c:pt idx="6">
                  <c:v>-23387.94</c:v>
                </c:pt>
                <c:pt idx="7">
                  <c:v>-1783.5</c:v>
                </c:pt>
                <c:pt idx="8">
                  <c:v>1102.03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80"/>
        <c:overlap val="0"/>
        <c:axId val="88050723"/>
        <c:axId val="58339773"/>
      </c:barChart>
      <c:catAx>
        <c:axId val="880507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339773"/>
        <c:crosses val="autoZero"/>
        <c:auto val="1"/>
        <c:lblAlgn val="ctr"/>
        <c:lblOffset val="100"/>
        <c:noMultiLvlLbl val="0"/>
      </c:catAx>
      <c:valAx>
        <c:axId val="583397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_);_(@_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0507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30</xdr:row>
      <xdr:rowOff>0</xdr:rowOff>
    </xdr:from>
    <xdr:to>
      <xdr:col>9</xdr:col>
      <xdr:colOff>745560</xdr:colOff>
      <xdr:row>50</xdr:row>
      <xdr:rowOff>149760</xdr:rowOff>
    </xdr:to>
    <xdr:graphicFrame>
      <xdr:nvGraphicFramePr>
        <xdr:cNvPr id="0" name="Chart 1"/>
        <xdr:cNvGraphicFramePr/>
      </xdr:nvGraphicFramePr>
      <xdr:xfrm>
        <a:off x="141120" y="7810560"/>
        <a:ext cx="86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9</xdr:col>
      <xdr:colOff>745560</xdr:colOff>
      <xdr:row>71</xdr:row>
      <xdr:rowOff>1080</xdr:rowOff>
    </xdr:to>
    <xdr:graphicFrame>
      <xdr:nvGraphicFramePr>
        <xdr:cNvPr id="1" name="Chart 2"/>
        <xdr:cNvGraphicFramePr/>
      </xdr:nvGraphicFramePr>
      <xdr:xfrm>
        <a:off x="141120" y="1251576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10</xdr:col>
      <xdr:colOff>760680</xdr:colOff>
      <xdr:row>34</xdr:row>
      <xdr:rowOff>149400</xdr:rowOff>
    </xdr:to>
    <xdr:graphicFrame>
      <xdr:nvGraphicFramePr>
        <xdr:cNvPr id="2" name="Chart 1"/>
        <xdr:cNvGraphicFramePr/>
      </xdr:nvGraphicFramePr>
      <xdr:xfrm>
        <a:off x="141120" y="372420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0</xdr:rowOff>
    </xdr:from>
    <xdr:to>
      <xdr:col>14</xdr:col>
      <xdr:colOff>702360</xdr:colOff>
      <xdr:row>29</xdr:row>
      <xdr:rowOff>21960</xdr:rowOff>
    </xdr:to>
    <xdr:graphicFrame>
      <xdr:nvGraphicFramePr>
        <xdr:cNvPr id="3" name="Chart 2"/>
        <xdr:cNvGraphicFramePr/>
      </xdr:nvGraphicFramePr>
      <xdr:xfrm>
        <a:off x="9586080" y="3724200"/>
        <a:ext cx="32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41</xdr:row>
      <xdr:rowOff>0</xdr:rowOff>
    </xdr:from>
    <xdr:to>
      <xdr:col>9</xdr:col>
      <xdr:colOff>40680</xdr:colOff>
      <xdr:row>59</xdr:row>
      <xdr:rowOff>170640</xdr:rowOff>
    </xdr:to>
    <xdr:graphicFrame>
      <xdr:nvGraphicFramePr>
        <xdr:cNvPr id="4" name="Chart 1"/>
        <xdr:cNvGraphicFramePr/>
      </xdr:nvGraphicFramePr>
      <xdr:xfrm>
        <a:off x="141120" y="1042020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10</xdr:col>
      <xdr:colOff>55800</xdr:colOff>
      <xdr:row>49</xdr:row>
      <xdr:rowOff>149760</xdr:rowOff>
    </xdr:to>
    <xdr:graphicFrame>
      <xdr:nvGraphicFramePr>
        <xdr:cNvPr id="5" name="Chart 1"/>
        <xdr:cNvGraphicFramePr/>
      </xdr:nvGraphicFramePr>
      <xdr:xfrm>
        <a:off x="141120" y="7648560"/>
        <a:ext cx="93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L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7" min="3" style="0" width="2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7.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1"/>
      <c r="I2" s="1"/>
      <c r="J2" s="1"/>
      <c r="K2" s="1"/>
      <c r="L2" s="1"/>
    </row>
    <row r="3" customFormat="false" ht="18" hidden="false" customHeight="true" outlineLevel="0" collapsed="false">
      <c r="A3" s="1"/>
      <c r="B3" s="3" t="s">
        <v>1</v>
      </c>
      <c r="C3" s="3"/>
      <c r="D3" s="3"/>
      <c r="E3" s="3"/>
      <c r="F3" s="3"/>
      <c r="G3" s="3"/>
      <c r="H3" s="1"/>
      <c r="I3" s="1"/>
      <c r="J3" s="1"/>
      <c r="K3" s="1"/>
      <c r="L3" s="1"/>
    </row>
    <row r="4" customFormat="false" ht="3.75" hidden="false" customHeight="true" outlineLevel="0" collapsed="false">
      <c r="A4" s="1"/>
      <c r="B4" s="4"/>
      <c r="C4" s="4"/>
      <c r="D4" s="4"/>
      <c r="E4" s="4"/>
      <c r="F4" s="4"/>
      <c r="G4" s="4"/>
      <c r="H4" s="1"/>
      <c r="I4" s="1"/>
      <c r="J4" s="1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25.5" hidden="false" customHeight="true" outlineLevel="0" collapsed="false">
      <c r="A6" s="1"/>
      <c r="B6" s="5" t="s">
        <v>2</v>
      </c>
      <c r="C6" s="5"/>
      <c r="D6" s="5"/>
      <c r="E6" s="5"/>
      <c r="F6" s="5"/>
      <c r="G6" s="5"/>
      <c r="H6" s="1"/>
      <c r="I6" s="1"/>
      <c r="J6" s="1"/>
      <c r="K6" s="1"/>
      <c r="L6" s="1"/>
    </row>
    <row r="7" customFormat="false" ht="18" hidden="false" customHeight="true" outlineLevel="0" collapsed="false">
      <c r="A7" s="1"/>
      <c r="B7" s="6" t="s">
        <v>3</v>
      </c>
      <c r="C7" s="6"/>
      <c r="D7" s="6"/>
      <c r="E7" s="6"/>
      <c r="F7" s="6"/>
      <c r="G7" s="6"/>
      <c r="H7" s="1"/>
      <c r="I7" s="1"/>
      <c r="J7" s="1"/>
      <c r="K7" s="1"/>
      <c r="L7" s="1"/>
    </row>
    <row r="8" customFormat="false" ht="18" hidden="false" customHeight="true" outlineLevel="0" collapsed="false">
      <c r="A8" s="1"/>
      <c r="B8" s="6"/>
      <c r="C8" s="6"/>
      <c r="D8" s="6"/>
      <c r="E8" s="6"/>
      <c r="F8" s="6"/>
      <c r="G8" s="6"/>
      <c r="H8" s="1"/>
      <c r="I8" s="1"/>
      <c r="J8" s="1"/>
      <c r="K8" s="1"/>
      <c r="L8" s="1"/>
    </row>
    <row r="9" customFormat="false" ht="18" hidden="false" customHeight="true" outlineLevel="0" collapsed="false">
      <c r="A9" s="1"/>
      <c r="B9" s="6"/>
      <c r="C9" s="6"/>
      <c r="D9" s="6"/>
      <c r="E9" s="6"/>
      <c r="F9" s="6"/>
      <c r="G9" s="6"/>
      <c r="H9" s="1"/>
      <c r="I9" s="1"/>
      <c r="J9" s="1"/>
      <c r="K9" s="1"/>
      <c r="L9" s="1"/>
    </row>
    <row r="10" customFormat="false" ht="18" hidden="false" customHeight="true" outlineLevel="0" collapsed="false">
      <c r="A10" s="1"/>
      <c r="B10" s="6"/>
      <c r="C10" s="6"/>
      <c r="D10" s="6"/>
      <c r="E10" s="6"/>
      <c r="F10" s="6"/>
      <c r="G10" s="6"/>
      <c r="H10" s="1"/>
      <c r="I10" s="1"/>
      <c r="J10" s="1"/>
      <c r="K10" s="1"/>
      <c r="L10" s="1"/>
    </row>
    <row r="11" customFormat="false" ht="18" hidden="false" customHeight="true" outlineLevel="0" collapsed="false">
      <c r="A11" s="1"/>
      <c r="B11" s="6"/>
      <c r="C11" s="6"/>
      <c r="D11" s="6"/>
      <c r="E11" s="6"/>
      <c r="F11" s="6"/>
      <c r="G11" s="6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25.5" hidden="false" customHeight="true" outlineLevel="0" collapsed="false">
      <c r="A13" s="1"/>
      <c r="B13" s="5" t="s">
        <v>4</v>
      </c>
      <c r="C13" s="5"/>
      <c r="D13" s="5"/>
      <c r="E13" s="5"/>
      <c r="F13" s="5"/>
      <c r="G13" s="5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21.75" hidden="false" customHeight="true" outlineLevel="0" collapsed="false">
      <c r="A15" s="1"/>
      <c r="B15" s="7" t="s">
        <v>5</v>
      </c>
      <c r="C15" s="8" t="s">
        <v>6</v>
      </c>
      <c r="D15" s="9" t="s">
        <v>7</v>
      </c>
      <c r="E15" s="9"/>
      <c r="F15" s="9"/>
      <c r="G15" s="9"/>
      <c r="H15" s="1"/>
      <c r="I15" s="1"/>
      <c r="J15" s="1"/>
      <c r="K15" s="1"/>
      <c r="L15" s="1"/>
    </row>
    <row r="16" customFormat="false" ht="6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21.75" hidden="false" customHeight="true" outlineLevel="0" collapsed="false">
      <c r="A17" s="1"/>
      <c r="B17" s="7" t="s">
        <v>8</v>
      </c>
      <c r="C17" s="8" t="s">
        <v>9</v>
      </c>
      <c r="D17" s="9" t="s">
        <v>10</v>
      </c>
      <c r="E17" s="9"/>
      <c r="F17" s="9"/>
      <c r="G17" s="9"/>
      <c r="H17" s="1"/>
      <c r="I17" s="1"/>
      <c r="J17" s="1"/>
      <c r="K17" s="1"/>
      <c r="L17" s="1"/>
    </row>
    <row r="18" customFormat="false" ht="6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7" t="s">
        <v>11</v>
      </c>
      <c r="C19" s="8" t="s">
        <v>12</v>
      </c>
      <c r="D19" s="9" t="s">
        <v>13</v>
      </c>
      <c r="E19" s="9"/>
      <c r="F19" s="9"/>
      <c r="G19" s="9"/>
      <c r="H19" s="1"/>
      <c r="I19" s="1"/>
      <c r="J19" s="1"/>
      <c r="K19" s="1"/>
      <c r="L19" s="1"/>
    </row>
    <row r="20" customFormat="false" ht="6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21.75" hidden="false" customHeight="true" outlineLevel="0" collapsed="false">
      <c r="A21" s="1"/>
      <c r="B21" s="7" t="s">
        <v>14</v>
      </c>
      <c r="C21" s="8" t="s">
        <v>15</v>
      </c>
      <c r="D21" s="9" t="s">
        <v>16</v>
      </c>
      <c r="E21" s="9"/>
      <c r="F21" s="9"/>
      <c r="G21" s="9"/>
      <c r="H21" s="1"/>
      <c r="I21" s="1"/>
      <c r="J21" s="1"/>
      <c r="K21" s="1"/>
      <c r="L21" s="1"/>
    </row>
    <row r="22" customFormat="false" ht="6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21.75" hidden="false" customHeight="true" outlineLevel="0" collapsed="false">
      <c r="A23" s="1"/>
      <c r="B23" s="7" t="s">
        <v>17</v>
      </c>
      <c r="C23" s="8" t="s">
        <v>18</v>
      </c>
      <c r="D23" s="9" t="s">
        <v>19</v>
      </c>
      <c r="E23" s="9"/>
      <c r="F23" s="9"/>
      <c r="G23" s="9"/>
      <c r="H23" s="1"/>
      <c r="I23" s="1"/>
      <c r="J23" s="1"/>
      <c r="K23" s="1"/>
      <c r="L23" s="1"/>
    </row>
    <row r="24" customFormat="false" ht="6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7" t="s">
        <v>20</v>
      </c>
      <c r="C25" s="8" t="s">
        <v>21</v>
      </c>
      <c r="D25" s="9" t="s">
        <v>22</v>
      </c>
      <c r="E25" s="9"/>
      <c r="F25" s="9"/>
      <c r="G25" s="9"/>
      <c r="H25" s="1"/>
      <c r="I25" s="1"/>
      <c r="J25" s="1"/>
      <c r="K25" s="1"/>
      <c r="L25" s="1"/>
    </row>
    <row r="26" customFormat="false" ht="6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25.5" hidden="false" customHeight="true" outlineLevel="0" collapsed="false">
      <c r="A28" s="1"/>
      <c r="B28" s="10" t="s">
        <v>23</v>
      </c>
      <c r="C28" s="10"/>
      <c r="D28" s="10"/>
      <c r="E28" s="10"/>
      <c r="F28" s="10"/>
      <c r="G28" s="10"/>
      <c r="H28" s="1"/>
      <c r="I28" s="1"/>
      <c r="J28" s="1"/>
      <c r="K28" s="1"/>
      <c r="L28" s="1"/>
    </row>
    <row r="29" customFormat="false" ht="18" hidden="false" customHeight="true" outlineLevel="0" collapsed="false">
      <c r="A29" s="1"/>
      <c r="B29" s="11" t="s">
        <v>24</v>
      </c>
      <c r="C29" s="11"/>
      <c r="D29" s="11"/>
      <c r="E29" s="11"/>
      <c r="F29" s="11"/>
      <c r="G29" s="11"/>
      <c r="H29" s="1"/>
      <c r="I29" s="1"/>
      <c r="J29" s="1"/>
      <c r="K29" s="1"/>
      <c r="L29" s="1"/>
    </row>
    <row r="30" customFormat="false" ht="18" hidden="false" customHeight="true" outlineLevel="0" collapsed="false">
      <c r="A30" s="1"/>
      <c r="B30" s="11"/>
      <c r="C30" s="11"/>
      <c r="D30" s="11"/>
      <c r="E30" s="11"/>
      <c r="F30" s="11"/>
      <c r="G30" s="11"/>
      <c r="H30" s="1"/>
      <c r="I30" s="1"/>
      <c r="J30" s="1"/>
      <c r="K30" s="1"/>
      <c r="L30" s="1"/>
    </row>
    <row r="31" customFormat="false" ht="18" hidden="false" customHeight="true" outlineLevel="0" collapsed="false">
      <c r="A31" s="1"/>
      <c r="B31" s="11"/>
      <c r="C31" s="11"/>
      <c r="D31" s="11"/>
      <c r="E31" s="11"/>
      <c r="F31" s="11"/>
      <c r="G31" s="11"/>
      <c r="H31" s="1"/>
      <c r="I31" s="1"/>
      <c r="J31" s="1"/>
      <c r="K31" s="1"/>
      <c r="L31" s="1"/>
    </row>
    <row r="32" customFormat="false" ht="18" hidden="false" customHeight="true" outlineLevel="0" collapsed="false">
      <c r="A32" s="1"/>
      <c r="B32" s="11"/>
      <c r="C32" s="11"/>
      <c r="D32" s="11"/>
      <c r="E32" s="11"/>
      <c r="F32" s="11"/>
      <c r="G32" s="11"/>
      <c r="H32" s="1"/>
      <c r="I32" s="1"/>
      <c r="J32" s="1"/>
      <c r="K32" s="1"/>
      <c r="L32" s="1"/>
    </row>
    <row r="33" customFormat="false" ht="18" hidden="false" customHeight="true" outlineLevel="0" collapsed="false">
      <c r="A33" s="1"/>
      <c r="B33" s="11"/>
      <c r="C33" s="11"/>
      <c r="D33" s="11"/>
      <c r="E33" s="11"/>
      <c r="F33" s="11"/>
      <c r="G33" s="1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25.5" hidden="false" customHeight="true" outlineLevel="0" collapsed="false">
      <c r="A35" s="1"/>
      <c r="B35" s="12" t="s">
        <v>25</v>
      </c>
      <c r="C35" s="12"/>
      <c r="D35" s="12"/>
      <c r="E35" s="12"/>
      <c r="F35" s="12"/>
      <c r="G35" s="12"/>
      <c r="H35" s="1"/>
      <c r="I35" s="1"/>
      <c r="J35" s="1"/>
      <c r="K35" s="1"/>
      <c r="L35" s="1"/>
    </row>
    <row r="36" customFormat="false" ht="18" hidden="false" customHeight="true" outlineLevel="0" collapsed="false">
      <c r="A36" s="1"/>
      <c r="B36" s="11" t="s">
        <v>26</v>
      </c>
      <c r="C36" s="11"/>
      <c r="D36" s="11"/>
      <c r="E36" s="11"/>
      <c r="F36" s="11"/>
      <c r="G36" s="11"/>
      <c r="H36" s="1"/>
      <c r="I36" s="1"/>
      <c r="J36" s="1"/>
      <c r="K36" s="1"/>
      <c r="L36" s="1"/>
    </row>
    <row r="37" customFormat="false" ht="18" hidden="false" customHeight="true" outlineLevel="0" collapsed="false">
      <c r="A37" s="1"/>
      <c r="B37" s="11"/>
      <c r="C37" s="11"/>
      <c r="D37" s="11"/>
      <c r="E37" s="11"/>
      <c r="F37" s="11"/>
      <c r="G37" s="11"/>
      <c r="H37" s="1"/>
      <c r="I37" s="1"/>
      <c r="J37" s="1"/>
      <c r="K37" s="1"/>
      <c r="L37" s="1"/>
    </row>
    <row r="38" customFormat="false" ht="18" hidden="false" customHeight="true" outlineLevel="0" collapsed="false">
      <c r="A38" s="1"/>
      <c r="B38" s="11"/>
      <c r="C38" s="11"/>
      <c r="D38" s="11"/>
      <c r="E38" s="11"/>
      <c r="F38" s="11"/>
      <c r="G38" s="11"/>
      <c r="H38" s="1"/>
      <c r="I38" s="1"/>
      <c r="J38" s="1"/>
      <c r="K38" s="1"/>
      <c r="L38" s="1"/>
    </row>
    <row r="39" customFormat="false" ht="18" hidden="false" customHeight="true" outlineLevel="0" collapsed="false">
      <c r="A39" s="1"/>
      <c r="B39" s="11"/>
      <c r="C39" s="11"/>
      <c r="D39" s="11"/>
      <c r="E39" s="11"/>
      <c r="F39" s="11"/>
      <c r="G39" s="11"/>
      <c r="H39" s="1"/>
      <c r="I39" s="1"/>
      <c r="J39" s="1"/>
      <c r="K39" s="1"/>
      <c r="L39" s="1"/>
    </row>
    <row r="40" customFormat="false" ht="18" hidden="false" customHeight="true" outlineLevel="0" collapsed="false">
      <c r="A40" s="1"/>
      <c r="B40" s="11"/>
      <c r="C40" s="11"/>
      <c r="D40" s="11"/>
      <c r="E40" s="11"/>
      <c r="F40" s="11"/>
      <c r="G40" s="1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25.5" hidden="false" customHeight="true" outlineLevel="0" collapsed="false">
      <c r="A42" s="1"/>
      <c r="B42" s="5" t="s">
        <v>27</v>
      </c>
      <c r="C42" s="5"/>
      <c r="D42" s="5"/>
      <c r="E42" s="5"/>
      <c r="F42" s="5"/>
      <c r="G42" s="5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8" hidden="false" customHeight="true" outlineLevel="0" collapsed="false">
      <c r="A44" s="1"/>
      <c r="B44" s="13" t="s">
        <v>9</v>
      </c>
      <c r="C44" s="9" t="s">
        <v>28</v>
      </c>
      <c r="D44" s="9"/>
      <c r="E44" s="9"/>
      <c r="F44" s="9"/>
      <c r="G44" s="9"/>
      <c r="H44" s="1"/>
      <c r="I44" s="1"/>
      <c r="J44" s="1"/>
      <c r="K44" s="1"/>
      <c r="L44" s="1"/>
    </row>
    <row r="45" customFormat="false" ht="18" hidden="false" customHeight="true" outlineLevel="0" collapsed="false">
      <c r="A45" s="1"/>
      <c r="B45" s="13" t="s">
        <v>29</v>
      </c>
      <c r="C45" s="9" t="s">
        <v>30</v>
      </c>
      <c r="D45" s="9"/>
      <c r="E45" s="9"/>
      <c r="F45" s="9"/>
      <c r="G45" s="9"/>
      <c r="H45" s="1"/>
      <c r="I45" s="1"/>
      <c r="J45" s="1"/>
      <c r="K45" s="1"/>
      <c r="L45" s="1"/>
    </row>
    <row r="46" customFormat="false" ht="18" hidden="false" customHeight="true" outlineLevel="0" collapsed="false">
      <c r="A46" s="1"/>
      <c r="B46" s="13" t="s">
        <v>31</v>
      </c>
      <c r="C46" s="9" t="s">
        <v>32</v>
      </c>
      <c r="D46" s="9"/>
      <c r="E46" s="9"/>
      <c r="F46" s="9"/>
      <c r="G46" s="9"/>
      <c r="H46" s="1"/>
      <c r="I46" s="1"/>
      <c r="J46" s="1"/>
      <c r="K46" s="1"/>
      <c r="L46" s="1"/>
    </row>
    <row r="47" customFormat="false" ht="18" hidden="false" customHeight="true" outlineLevel="0" collapsed="false">
      <c r="A47" s="1"/>
      <c r="B47" s="13" t="s">
        <v>33</v>
      </c>
      <c r="C47" s="9" t="s">
        <v>34</v>
      </c>
      <c r="D47" s="9"/>
      <c r="E47" s="9"/>
      <c r="F47" s="9"/>
      <c r="G47" s="9"/>
      <c r="H47" s="1"/>
      <c r="I47" s="1"/>
      <c r="J47" s="1"/>
      <c r="K47" s="1"/>
      <c r="L47" s="1"/>
    </row>
    <row r="48" customFormat="false" ht="18" hidden="false" customHeight="true" outlineLevel="0" collapsed="false">
      <c r="A48" s="1"/>
      <c r="B48" s="13" t="s">
        <v>35</v>
      </c>
      <c r="C48" s="9" t="s">
        <v>36</v>
      </c>
      <c r="D48" s="9"/>
      <c r="E48" s="9"/>
      <c r="F48" s="9"/>
      <c r="G48" s="9"/>
      <c r="H48" s="1"/>
      <c r="I48" s="1"/>
      <c r="J48" s="1"/>
      <c r="K48" s="1"/>
      <c r="L48" s="1"/>
    </row>
    <row r="49" customFormat="false" ht="18" hidden="false" customHeight="true" outlineLevel="0" collapsed="false">
      <c r="A49" s="1"/>
      <c r="B49" s="13" t="s">
        <v>37</v>
      </c>
      <c r="C49" s="9" t="s">
        <v>38</v>
      </c>
      <c r="D49" s="9"/>
      <c r="E49" s="9"/>
      <c r="F49" s="9"/>
      <c r="G49" s="9"/>
      <c r="H49" s="1"/>
      <c r="I49" s="1"/>
      <c r="J49" s="1"/>
      <c r="K49" s="1"/>
      <c r="L49" s="1"/>
    </row>
    <row r="50" customFormat="false" ht="18" hidden="false" customHeight="true" outlineLevel="0" collapsed="false">
      <c r="A50" s="1"/>
      <c r="B50" s="13" t="s">
        <v>15</v>
      </c>
      <c r="C50" s="9" t="s">
        <v>39</v>
      </c>
      <c r="D50" s="9"/>
      <c r="E50" s="9"/>
      <c r="F50" s="9"/>
      <c r="G50" s="9"/>
      <c r="H50" s="1"/>
      <c r="I50" s="1"/>
      <c r="J50" s="1"/>
      <c r="K50" s="1"/>
      <c r="L50" s="1"/>
    </row>
    <row r="51" customFormat="false" ht="18" hidden="false" customHeight="true" outlineLevel="0" collapsed="false">
      <c r="A51" s="1"/>
      <c r="B51" s="13" t="s">
        <v>40</v>
      </c>
      <c r="C51" s="9" t="s">
        <v>41</v>
      </c>
      <c r="D51" s="9"/>
      <c r="E51" s="9"/>
      <c r="F51" s="9"/>
      <c r="G51" s="9"/>
      <c r="H51" s="1"/>
      <c r="I51" s="1"/>
      <c r="J51" s="1"/>
      <c r="K51" s="1"/>
      <c r="L51" s="1"/>
    </row>
    <row r="52" customFormat="false" ht="18" hidden="false" customHeight="true" outlineLevel="0" collapsed="false">
      <c r="A52" s="1"/>
      <c r="B52" s="13" t="s">
        <v>42</v>
      </c>
      <c r="C52" s="9" t="s">
        <v>43</v>
      </c>
      <c r="D52" s="9"/>
      <c r="E52" s="9"/>
      <c r="F52" s="9"/>
      <c r="G52" s="9"/>
      <c r="H52" s="1"/>
      <c r="I52" s="1"/>
      <c r="J52" s="1"/>
      <c r="K52" s="1"/>
      <c r="L52" s="1"/>
    </row>
    <row r="53" customFormat="false" ht="18" hidden="false" customHeight="true" outlineLevel="0" collapsed="false">
      <c r="A53" s="1"/>
      <c r="B53" s="13" t="s">
        <v>18</v>
      </c>
      <c r="C53" s="9" t="s">
        <v>44</v>
      </c>
      <c r="D53" s="9"/>
      <c r="E53" s="9"/>
      <c r="F53" s="9"/>
      <c r="G53" s="9"/>
      <c r="H53" s="1"/>
      <c r="I53" s="1"/>
      <c r="J53" s="1"/>
      <c r="K53" s="1"/>
      <c r="L53" s="1"/>
    </row>
    <row r="54" customFormat="false" ht="18" hidden="false" customHeight="true" outlineLevel="0" collapsed="false">
      <c r="A54" s="1"/>
      <c r="B54" s="13" t="s">
        <v>21</v>
      </c>
      <c r="C54" s="9" t="s">
        <v>45</v>
      </c>
      <c r="D54" s="9"/>
      <c r="E54" s="9"/>
      <c r="F54" s="9"/>
      <c r="G54" s="9"/>
      <c r="H54" s="1"/>
      <c r="I54" s="1"/>
      <c r="J54" s="1"/>
      <c r="K54" s="1"/>
      <c r="L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mergeCells count="27">
    <mergeCell ref="B2:G2"/>
    <mergeCell ref="B3:G3"/>
    <mergeCell ref="B6:G6"/>
    <mergeCell ref="B7:G11"/>
    <mergeCell ref="B13:G13"/>
    <mergeCell ref="D15:G15"/>
    <mergeCell ref="D17:G17"/>
    <mergeCell ref="D19:G19"/>
    <mergeCell ref="D21:G21"/>
    <mergeCell ref="D23:G23"/>
    <mergeCell ref="D25:G25"/>
    <mergeCell ref="B28:G28"/>
    <mergeCell ref="B29:G33"/>
    <mergeCell ref="B35:G35"/>
    <mergeCell ref="B36:G40"/>
    <mergeCell ref="B42:G42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R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14" min="2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1"/>
    </row>
    <row r="3" customFormat="false" ht="18" hidden="false" customHeight="true" outlineLevel="0" collapsed="false">
      <c r="A3" s="1"/>
      <c r="B3" s="3" t="s">
        <v>47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1.75" hidden="false" customHeight="true" outlineLevel="0" collapsed="false">
      <c r="A5" s="1"/>
      <c r="B5" s="14" t="s">
        <v>48</v>
      </c>
      <c r="C5" s="14"/>
      <c r="D5" s="14"/>
      <c r="E5" s="15" t="s">
        <v>49</v>
      </c>
      <c r="F5" s="15"/>
      <c r="G5" s="15"/>
      <c r="H5" s="16" t="s">
        <v>50</v>
      </c>
      <c r="I5" s="16"/>
      <c r="J5" s="16"/>
      <c r="K5" s="17" t="s">
        <v>51</v>
      </c>
      <c r="L5" s="17"/>
      <c r="M5" s="17"/>
      <c r="N5" s="1"/>
      <c r="O5" s="1"/>
      <c r="P5" s="1"/>
      <c r="Q5" s="1"/>
      <c r="R5" s="1"/>
    </row>
    <row r="6" customFormat="false" ht="24" hidden="false" customHeight="true" outlineLevel="0" collapsed="false">
      <c r="A6" s="1"/>
      <c r="B6" s="18" t="n">
        <f aca="false">PnL_Statement!O10</f>
        <v>135760.17</v>
      </c>
      <c r="C6" s="18"/>
      <c r="D6" s="18"/>
      <c r="E6" s="18" t="n">
        <f aca="false">PnL_Statement!O14+PnL_Statement!O23</f>
        <v>358157.715</v>
      </c>
      <c r="F6" s="18"/>
      <c r="G6" s="18"/>
      <c r="H6" s="18" t="n">
        <f aca="false">PnL_Statement!O25</f>
        <v>-222397.545</v>
      </c>
      <c r="I6" s="18"/>
      <c r="J6" s="18"/>
      <c r="K6" s="19" t="n">
        <f aca="false">PnL_Statement!P15</f>
        <v>0.0159116624559324</v>
      </c>
      <c r="L6" s="19"/>
      <c r="M6" s="19"/>
      <c r="N6" s="1"/>
      <c r="O6" s="1"/>
      <c r="P6" s="1"/>
      <c r="Q6" s="1"/>
      <c r="R6" s="1"/>
    </row>
    <row r="7" customFormat="false" ht="24" hidden="false" customHeight="true" outlineLevel="0" collapsed="false">
      <c r="A7" s="1"/>
      <c r="B7" s="18"/>
      <c r="C7" s="18"/>
      <c r="D7" s="18"/>
      <c r="E7" s="18"/>
      <c r="F7" s="18"/>
      <c r="G7" s="18"/>
      <c r="H7" s="18"/>
      <c r="I7" s="18"/>
      <c r="J7" s="18"/>
      <c r="K7" s="19"/>
      <c r="L7" s="19"/>
      <c r="M7" s="19"/>
      <c r="N7" s="1"/>
      <c r="O7" s="1"/>
      <c r="P7" s="1"/>
      <c r="Q7" s="1"/>
      <c r="R7" s="1"/>
    </row>
    <row r="8" customFormat="false" ht="12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customFormat="false" ht="21.75" hidden="false" customHeight="true" outlineLevel="0" collapsed="false">
      <c r="A9" s="1"/>
      <c r="B9" s="17" t="s">
        <v>52</v>
      </c>
      <c r="C9" s="17"/>
      <c r="D9" s="17"/>
      <c r="E9" s="20" t="s">
        <v>53</v>
      </c>
      <c r="F9" s="20"/>
      <c r="G9" s="20"/>
      <c r="H9" s="21" t="s">
        <v>54</v>
      </c>
      <c r="I9" s="21"/>
      <c r="J9" s="21"/>
      <c r="K9" s="22" t="s">
        <v>55</v>
      </c>
      <c r="L9" s="22"/>
      <c r="M9" s="22"/>
      <c r="N9" s="1"/>
      <c r="O9" s="1"/>
      <c r="P9" s="1"/>
      <c r="Q9" s="1"/>
      <c r="R9" s="1"/>
    </row>
    <row r="10" customFormat="false" ht="24" hidden="false" customHeight="true" outlineLevel="0" collapsed="false">
      <c r="A10" s="1"/>
      <c r="B10" s="19" t="n">
        <f aca="false">PnL_Statement!P25</f>
        <v>-1.63816489770159</v>
      </c>
      <c r="C10" s="19"/>
      <c r="D10" s="19"/>
      <c r="E10" s="18" t="n">
        <f aca="false">SUM(Raw_Stripe!L6:L33)</f>
        <v>7147.4</v>
      </c>
      <c r="F10" s="18"/>
      <c r="G10" s="18"/>
      <c r="H10" s="18" t="n">
        <f aca="false">SUM(Raw_Meta!L6:L28)</f>
        <v>133600</v>
      </c>
      <c r="I10" s="18"/>
      <c r="J10" s="18"/>
      <c r="K10" s="18" t="n">
        <f aca="false">SUMPRODUCT(Raw_Meta!H6:H28,Raw_Meta!G6:G28)/SUMIF(Raw_Meta!G6:G28,"&gt;0",Raw_Meta!G6:G28)*SUM(Raw_Meta!H6:H28)</f>
        <v>6355179.64071856</v>
      </c>
      <c r="L10" s="18"/>
      <c r="M10" s="18"/>
      <c r="N10" s="1"/>
      <c r="O10" s="1"/>
      <c r="P10" s="1"/>
      <c r="Q10" s="1"/>
      <c r="R10" s="1"/>
    </row>
    <row r="11" customFormat="false" ht="24" hidden="false" customHeight="true" outlineLevel="0" collapsed="false">
      <c r="A11" s="1"/>
      <c r="B11" s="19"/>
      <c r="C11" s="19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"/>
      <c r="O11" s="1"/>
      <c r="P11" s="1"/>
      <c r="Q11" s="1"/>
      <c r="R11" s="1"/>
    </row>
    <row r="12" customFormat="false" ht="12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25.5" hidden="false" customHeight="true" outlineLevel="0" collapsed="false">
      <c r="A13" s="1"/>
      <c r="B13" s="5" t="s">
        <v>56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"/>
      <c r="P13" s="1"/>
      <c r="Q13" s="1"/>
      <c r="R13" s="1"/>
    </row>
    <row r="14" customFormat="false" ht="25.5" hidden="false" customHeight="true" outlineLevel="0" collapsed="false">
      <c r="A14" s="1"/>
      <c r="B14" s="23" t="s">
        <v>57</v>
      </c>
      <c r="C14" s="23" t="s">
        <v>58</v>
      </c>
      <c r="D14" s="23" t="s">
        <v>59</v>
      </c>
      <c r="E14" s="23" t="s">
        <v>60</v>
      </c>
      <c r="F14" s="23" t="s">
        <v>61</v>
      </c>
      <c r="G14" s="23" t="s">
        <v>62</v>
      </c>
      <c r="H14" s="24"/>
      <c r="I14" s="24"/>
      <c r="J14" s="24"/>
      <c r="K14" s="24"/>
      <c r="L14" s="24"/>
      <c r="M14" s="24"/>
      <c r="N14" s="24"/>
      <c r="O14" s="1"/>
      <c r="P14" s="1"/>
      <c r="Q14" s="1"/>
      <c r="R14" s="1"/>
    </row>
    <row r="15" customFormat="false" ht="19.5" hidden="false" customHeight="true" outlineLevel="0" collapsed="false">
      <c r="A15" s="1"/>
      <c r="B15" s="25" t="s">
        <v>63</v>
      </c>
      <c r="C15" s="26" t="n">
        <f aca="false">PnL_Statement!C10</f>
        <v>24784.46</v>
      </c>
      <c r="D15" s="26" t="n">
        <f aca="false">PnL_Statement!C14</f>
        <v>19700</v>
      </c>
      <c r="E15" s="26" t="n">
        <f aca="false">PnL_Statement!C23</f>
        <v>39527.015</v>
      </c>
      <c r="F15" s="27" t="n">
        <f aca="false">PnL_Statement!C25</f>
        <v>-34442.555</v>
      </c>
      <c r="G15" s="28" t="n">
        <f aca="false">IFERROR(F15/C15,0)</f>
        <v>-1.38968349522241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9.5" hidden="false" customHeight="true" outlineLevel="0" collapsed="false">
      <c r="A16" s="1"/>
      <c r="B16" s="25" t="s">
        <v>64</v>
      </c>
      <c r="C16" s="26" t="n">
        <f aca="false">PnL_Statement!D10</f>
        <v>16234.3</v>
      </c>
      <c r="D16" s="26" t="n">
        <f aca="false">PnL_Statement!D14</f>
        <v>16300</v>
      </c>
      <c r="E16" s="26" t="n">
        <f aca="false">PnL_Statement!D23</f>
        <v>40419.25</v>
      </c>
      <c r="F16" s="29" t="n">
        <f aca="false">PnL_Statement!D25</f>
        <v>-40484.95</v>
      </c>
      <c r="G16" s="28" t="n">
        <f aca="false">IFERROR(F16/C16,0)</f>
        <v>-2.49379092415441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9.5" hidden="false" customHeight="true" outlineLevel="0" collapsed="false">
      <c r="A17" s="1"/>
      <c r="B17" s="25" t="s">
        <v>65</v>
      </c>
      <c r="C17" s="26" t="n">
        <f aca="false">PnL_Statement!E10</f>
        <v>23120.94</v>
      </c>
      <c r="D17" s="26" t="n">
        <f aca="false">PnL_Statement!E14</f>
        <v>30300</v>
      </c>
      <c r="E17" s="26" t="n">
        <f aca="false">PnL_Statement!E23</f>
        <v>42379.69</v>
      </c>
      <c r="F17" s="29" t="n">
        <f aca="false">PnL_Statement!E25</f>
        <v>-49558.75</v>
      </c>
      <c r="G17" s="28" t="n">
        <f aca="false">IFERROR(F17/C17,0)</f>
        <v>-2.14345740268346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9.5" hidden="false" customHeight="true" outlineLevel="0" collapsed="false">
      <c r="A18" s="1"/>
      <c r="B18" s="25" t="s">
        <v>66</v>
      </c>
      <c r="C18" s="26" t="n">
        <f aca="false">PnL_Statement!F10</f>
        <v>3888.26</v>
      </c>
      <c r="D18" s="26" t="n">
        <f aca="false">PnL_Statement!F14</f>
        <v>9300</v>
      </c>
      <c r="E18" s="26" t="n">
        <f aca="false">PnL_Statement!F23</f>
        <v>42191.57</v>
      </c>
      <c r="F18" s="27" t="n">
        <f aca="false">PnL_Statement!F25</f>
        <v>-47603.31</v>
      </c>
      <c r="G18" s="28" t="n">
        <f aca="false">IFERROR(F18/C18,0)</f>
        <v>-12.2428309835248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9.5" hidden="false" customHeight="true" outlineLevel="0" collapsed="false">
      <c r="A19" s="1"/>
      <c r="B19" s="25" t="s">
        <v>67</v>
      </c>
      <c r="C19" s="26" t="n">
        <f aca="false">PnL_Statement!G10</f>
        <v>11173.47</v>
      </c>
      <c r="D19" s="26" t="n">
        <f aca="false">PnL_Statement!G14</f>
        <v>17300</v>
      </c>
      <c r="E19" s="26" t="n">
        <f aca="false">PnL_Statement!G23</f>
        <v>18697.1</v>
      </c>
      <c r="F19" s="29" t="n">
        <f aca="false">PnL_Statement!G25</f>
        <v>-24823.63</v>
      </c>
      <c r="G19" s="28" t="n">
        <f aca="false">IFERROR(F19/C19,0)</f>
        <v>-2.22165808831097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9.5" hidden="false" customHeight="true" outlineLevel="0" collapsed="false">
      <c r="A20" s="1"/>
      <c r="B20" s="25" t="s">
        <v>68</v>
      </c>
      <c r="C20" s="26" t="n">
        <f aca="false">PnL_Statement!H10</f>
        <v>31061.03</v>
      </c>
      <c r="D20" s="26" t="n">
        <f aca="false">PnL_Statement!H14</f>
        <v>12400</v>
      </c>
      <c r="E20" s="26" t="n">
        <f aca="false">PnL_Statement!H23</f>
        <v>20075.97</v>
      </c>
      <c r="F20" s="29" t="n">
        <f aca="false">PnL_Statement!H25</f>
        <v>-1414.94</v>
      </c>
      <c r="G20" s="28" t="n">
        <f aca="false">IFERROR(F20/C20,0)</f>
        <v>-0.0455535441033346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9.5" hidden="false" customHeight="true" outlineLevel="0" collapsed="false">
      <c r="A21" s="1"/>
      <c r="B21" s="25" t="s">
        <v>69</v>
      </c>
      <c r="C21" s="26" t="n">
        <f aca="false">PnL_Statement!I10</f>
        <v>11466.71</v>
      </c>
      <c r="D21" s="26" t="n">
        <f aca="false">PnL_Statement!I14</f>
        <v>14000</v>
      </c>
      <c r="E21" s="26" t="n">
        <f aca="false">PnL_Statement!I23</f>
        <v>20854.65</v>
      </c>
      <c r="F21" s="27" t="n">
        <f aca="false">PnL_Statement!I25</f>
        <v>-23387.94</v>
      </c>
      <c r="G21" s="28" t="n">
        <f aca="false">IFERROR(F21/C21,0)</f>
        <v>-2.03963822229742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9.5" hidden="false" customHeight="true" outlineLevel="0" collapsed="false">
      <c r="A22" s="1"/>
      <c r="B22" s="25" t="s">
        <v>70</v>
      </c>
      <c r="C22" s="26" t="n">
        <f aca="false">PnL_Statement!J10</f>
        <v>2831</v>
      </c>
      <c r="D22" s="26" t="n">
        <f aca="false">PnL_Statement!J14</f>
        <v>4500</v>
      </c>
      <c r="E22" s="26" t="n">
        <f aca="false">PnL_Statement!J23</f>
        <v>114.5</v>
      </c>
      <c r="F22" s="29" t="n">
        <f aca="false">PnL_Statement!J25</f>
        <v>-1783.5</v>
      </c>
      <c r="G22" s="28" t="n">
        <f aca="false">IFERROR(F22/C22,0)</f>
        <v>-0.629989403037796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9.5" hidden="false" customHeight="true" outlineLevel="0" collapsed="false">
      <c r="A23" s="1"/>
      <c r="B23" s="25" t="s">
        <v>71</v>
      </c>
      <c r="C23" s="26" t="n">
        <f aca="false">PnL_Statement!K10</f>
        <v>11200</v>
      </c>
      <c r="D23" s="26" t="n">
        <f aca="false">PnL_Statement!K14</f>
        <v>9800</v>
      </c>
      <c r="E23" s="26" t="n">
        <f aca="false">PnL_Statement!K23</f>
        <v>297.97</v>
      </c>
      <c r="F23" s="29" t="n">
        <f aca="false">PnL_Statement!K25</f>
        <v>1102.03</v>
      </c>
      <c r="G23" s="28" t="n">
        <f aca="false">IFERROR(F23/C23,0)</f>
        <v>0.0983955357142857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9.5" hidden="false" customHeight="true" outlineLevel="0" collapsed="false">
      <c r="A24" s="1"/>
      <c r="B24" s="25" t="s">
        <v>72</v>
      </c>
      <c r="C24" s="26" t="n">
        <f aca="false">PnL_Statement!L10</f>
        <v>0</v>
      </c>
      <c r="D24" s="26" t="n">
        <f aca="false">PnL_Statement!L14</f>
        <v>0</v>
      </c>
      <c r="E24" s="26" t="n">
        <f aca="false">PnL_Statement!L23</f>
        <v>0</v>
      </c>
      <c r="F24" s="27" t="n">
        <f aca="false">PnL_Statement!L25</f>
        <v>0</v>
      </c>
      <c r="G24" s="28" t="n">
        <f aca="false">IFERROR(F24/C24,0)</f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9.5" hidden="false" customHeight="true" outlineLevel="0" collapsed="false">
      <c r="A25" s="1"/>
      <c r="B25" s="25" t="s">
        <v>73</v>
      </c>
      <c r="C25" s="26" t="n">
        <f aca="false">PnL_Statement!M10</f>
        <v>0</v>
      </c>
      <c r="D25" s="26" t="n">
        <f aca="false">PnL_Statement!M14</f>
        <v>0</v>
      </c>
      <c r="E25" s="26" t="n">
        <f aca="false">PnL_Statement!M23</f>
        <v>0</v>
      </c>
      <c r="F25" s="29" t="n">
        <f aca="false">PnL_Statement!M25</f>
        <v>0</v>
      </c>
      <c r="G25" s="28" t="n">
        <f aca="false">IFERROR(F25/C25,0)</f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9.5" hidden="false" customHeight="true" outlineLevel="0" collapsed="false">
      <c r="A26" s="1"/>
      <c r="B26" s="25" t="s">
        <v>74</v>
      </c>
      <c r="C26" s="26" t="n">
        <f aca="false">PnL_Statement!N10</f>
        <v>0</v>
      </c>
      <c r="D26" s="26" t="n">
        <f aca="false">PnL_Statement!N14</f>
        <v>0</v>
      </c>
      <c r="E26" s="26" t="n">
        <f aca="false">PnL_Statement!N23</f>
        <v>0</v>
      </c>
      <c r="F26" s="29" t="n">
        <f aca="false">PnL_Statement!N25</f>
        <v>0</v>
      </c>
      <c r="G26" s="28" t="n">
        <f aca="false">IFERROR(F26/C26,0)</f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25.5" hidden="false" customHeight="true" outlineLevel="0" collapsed="false">
      <c r="A27" s="1"/>
      <c r="B27" s="30" t="s">
        <v>75</v>
      </c>
      <c r="C27" s="31" t="n">
        <f aca="false">SUM(C15:C26)</f>
        <v>135760.17</v>
      </c>
      <c r="D27" s="31" t="n">
        <f aca="false">SUM(D15:D26)</f>
        <v>133600</v>
      </c>
      <c r="E27" s="31" t="n">
        <f aca="false">SUM(E15:E26)</f>
        <v>224557.715</v>
      </c>
      <c r="F27" s="31" t="n">
        <f aca="false">SUM(F15:F26)</f>
        <v>-222397.545</v>
      </c>
      <c r="G27" s="32" t="n">
        <f aca="false">IFERROR(F27/C27,0)</f>
        <v>-1.63816489770159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25.5" hidden="false" customHeight="true" outlineLevel="0" collapsed="false">
      <c r="A30" s="1"/>
      <c r="B30" s="10" t="s">
        <v>76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25.5" hidden="false" customHeight="true" outlineLevel="0" collapsed="false">
      <c r="A54" s="1"/>
      <c r="B54" s="12" t="s">
        <v>77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</sheetData>
  <mergeCells count="21">
    <mergeCell ref="B2:N2"/>
    <mergeCell ref="B3:N3"/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H9:J9"/>
    <mergeCell ref="K9:M9"/>
    <mergeCell ref="B10:D11"/>
    <mergeCell ref="E10:G11"/>
    <mergeCell ref="H10:J11"/>
    <mergeCell ref="K10:M11"/>
    <mergeCell ref="B13:N13"/>
    <mergeCell ref="B30:N30"/>
    <mergeCell ref="B54:N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5BFF"/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15" min="3" style="0" width="12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78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</row>
    <row r="3" customFormat="false" ht="18" hidden="false" customHeight="true" outlineLevel="0" collapsed="false">
      <c r="A3" s="1"/>
      <c r="B3" s="3" t="s">
        <v>79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5.5" hidden="false" customHeight="true" outlineLevel="0" collapsed="false">
      <c r="A5" s="1"/>
      <c r="B5" s="5" t="s">
        <v>80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1"/>
    </row>
    <row r="6" customFormat="false" ht="30" hidden="false" customHeight="true" outlineLevel="0" collapsed="false">
      <c r="A6" s="1"/>
      <c r="B6" s="33" t="s">
        <v>81</v>
      </c>
      <c r="C6" s="34" t="s">
        <v>63</v>
      </c>
      <c r="D6" s="34" t="s">
        <v>64</v>
      </c>
      <c r="E6" s="34" t="s">
        <v>65</v>
      </c>
      <c r="F6" s="34" t="s">
        <v>66</v>
      </c>
      <c r="G6" s="34" t="s">
        <v>67</v>
      </c>
      <c r="H6" s="34" t="s">
        <v>68</v>
      </c>
      <c r="I6" s="34" t="s">
        <v>69</v>
      </c>
      <c r="J6" s="34" t="s">
        <v>70</v>
      </c>
      <c r="K6" s="34" t="s">
        <v>71</v>
      </c>
      <c r="L6" s="34" t="s">
        <v>72</v>
      </c>
      <c r="M6" s="34" t="s">
        <v>73</v>
      </c>
      <c r="N6" s="34" t="s">
        <v>74</v>
      </c>
      <c r="O6" s="34" t="s">
        <v>82</v>
      </c>
      <c r="P6" s="35"/>
      <c r="Q6" s="1"/>
      <c r="R6" s="1"/>
    </row>
    <row r="7" customFormat="false" ht="19.5" hidden="false" customHeight="true" outlineLevel="0" collapsed="false">
      <c r="A7" s="1"/>
      <c r="B7" s="36" t="s">
        <v>83</v>
      </c>
      <c r="C7" s="37" t="n">
        <f aca="false">SUMIFS(Raw_Stripe!$H$6:$H$33,Raw_Stripe!$M$6:$M$33,"Jan-25",Raw_Stripe!$N$6:$N$33,"WhatsApp")</f>
        <v>4202.01</v>
      </c>
      <c r="D7" s="37" t="n">
        <f aca="false">SUMIFS(Raw_Stripe!$H$6:$H$33,Raw_Stripe!$M$6:$M$33,"Feb-25",Raw_Stripe!$N$6:$N$33,"WhatsApp")</f>
        <v>3825.85</v>
      </c>
      <c r="E7" s="37" t="n">
        <f aca="false">SUMIFS(Raw_Stripe!$H$6:$H$33,Raw_Stripe!$M$6:$M$33,"Mar-25",Raw_Stripe!$N$6:$N$33,"WhatsApp")</f>
        <v>4625.64</v>
      </c>
      <c r="F7" s="37" t="n">
        <f aca="false">SUMIFS(Raw_Stripe!$H$6:$H$33,Raw_Stripe!$M$6:$M$33,"Apr-25",Raw_Stripe!$N$6:$N$33,"WhatsApp")</f>
        <v>1279.81</v>
      </c>
      <c r="G7" s="37" t="n">
        <f aca="false">SUMIFS(Raw_Stripe!$H$6:$H$33,Raw_Stripe!$M$6:$M$33,"May-25",Raw_Stripe!$N$6:$N$33,"WhatsApp")</f>
        <v>1334.27</v>
      </c>
      <c r="H7" s="37" t="n">
        <f aca="false">SUMIFS(Raw_Stripe!$H$6:$H$33,Raw_Stripe!$M$6:$M$33,"Jun-25",Raw_Stripe!$N$6:$N$33,"WhatsApp")</f>
        <v>7061.03</v>
      </c>
      <c r="I7" s="37" t="n">
        <f aca="false">SUMIFS(Raw_Stripe!$H$6:$H$33,Raw_Stripe!$M$6:$M$33,"Jul-25",Raw_Stripe!$N$6:$N$33,"WhatsApp")</f>
        <v>1415.96</v>
      </c>
      <c r="J7" s="37" t="n">
        <f aca="false">SUMIFS(Raw_Stripe!$H$6:$H$33,Raw_Stripe!$M$6:$M$33,"Aug-25",Raw_Stripe!$N$6:$N$33,"WhatsApp")</f>
        <v>2831</v>
      </c>
      <c r="K7" s="37" t="n">
        <f aca="false">SUMIFS(Raw_Stripe!$H$6:$H$33,Raw_Stripe!$M$6:$M$33,"Sep-25",Raw_Stripe!$N$6:$N$33,"WhatsApp")</f>
        <v>0</v>
      </c>
      <c r="L7" s="37" t="n">
        <f aca="false">SUMIFS(Raw_Stripe!$H$6:$H$33,Raw_Stripe!$M$6:$M$33,"Oct-25",Raw_Stripe!$N$6:$N$33,"WhatsApp")</f>
        <v>0</v>
      </c>
      <c r="M7" s="37" t="n">
        <f aca="false">SUMIFS(Raw_Stripe!$H$6:$H$33,Raw_Stripe!$M$6:$M$33,"Nov-25",Raw_Stripe!$N$6:$N$33,"WhatsApp")</f>
        <v>0</v>
      </c>
      <c r="N7" s="37" t="n">
        <f aca="false">SUMIFS(Raw_Stripe!$H$6:$H$33,Raw_Stripe!$M$6:$M$33,"Dec-25",Raw_Stripe!$N$6:$N$33,"WhatsApp")</f>
        <v>0</v>
      </c>
      <c r="O7" s="37" t="n">
        <f aca="false">SUM(C7:N7)</f>
        <v>26575.57</v>
      </c>
      <c r="P7" s="1"/>
      <c r="Q7" s="1"/>
      <c r="R7" s="1"/>
    </row>
    <row r="8" customFormat="false" ht="19.5" hidden="false" customHeight="true" outlineLevel="0" collapsed="false">
      <c r="A8" s="1"/>
      <c r="B8" s="38" t="s">
        <v>84</v>
      </c>
      <c r="C8" s="39" t="n">
        <f aca="false">SUMIFS(Raw_Stripe!$H$6:$H$33,Raw_Stripe!$M$6:$M$33,"Jan-25",Raw_Stripe!$N$6:$N$33,"Subscription")</f>
        <v>13782.45</v>
      </c>
      <c r="D8" s="39" t="n">
        <f aca="false">SUMIFS(Raw_Stripe!$H$6:$H$33,Raw_Stripe!$M$6:$M$33,"Feb-25",Raw_Stripe!$N$6:$N$33,"Subscription")</f>
        <v>408.45</v>
      </c>
      <c r="E8" s="39" t="n">
        <f aca="false">SUMIFS(Raw_Stripe!$H$6:$H$33,Raw_Stripe!$M$6:$M$33,"Mar-25",Raw_Stripe!$N$6:$N$33,"Subscription")</f>
        <v>408.45</v>
      </c>
      <c r="F8" s="39" t="n">
        <f aca="false">SUMIFS(Raw_Stripe!$H$6:$H$33,Raw_Stripe!$M$6:$M$33,"Apr-25",Raw_Stripe!$N$6:$N$33,"Subscription")</f>
        <v>2608.45</v>
      </c>
      <c r="G8" s="39" t="n">
        <f aca="false">SUMIFS(Raw_Stripe!$H$6:$H$33,Raw_Stripe!$M$6:$M$33,"May-25",Raw_Stripe!$N$6:$N$33,"Subscription")</f>
        <v>1339.2</v>
      </c>
      <c r="H8" s="39" t="n">
        <f aca="false">SUMIFS(Raw_Stripe!$H$6:$H$33,Raw_Stripe!$M$6:$M$33,"Jun-25",Raw_Stripe!$N$6:$N$33,"Subscription")</f>
        <v>24000</v>
      </c>
      <c r="I8" s="39" t="n">
        <f aca="false">SUMIFS(Raw_Stripe!$H$6:$H$33,Raw_Stripe!$M$6:$M$33,"Jul-25",Raw_Stripe!$N$6:$N$33,"Subscription")</f>
        <v>0</v>
      </c>
      <c r="J8" s="39" t="n">
        <f aca="false">SUMIFS(Raw_Stripe!$H$6:$H$33,Raw_Stripe!$M$6:$M$33,"Aug-25",Raw_Stripe!$N$6:$N$33,"Subscription")</f>
        <v>0</v>
      </c>
      <c r="K8" s="39" t="n">
        <f aca="false">SUMIFS(Raw_Stripe!$H$6:$H$33,Raw_Stripe!$M$6:$M$33,"Sep-25",Raw_Stripe!$N$6:$N$33,"Subscription")</f>
        <v>0</v>
      </c>
      <c r="L8" s="39" t="n">
        <f aca="false">SUMIFS(Raw_Stripe!$H$6:$H$33,Raw_Stripe!$M$6:$M$33,"Oct-25",Raw_Stripe!$N$6:$N$33,"Subscription")</f>
        <v>0</v>
      </c>
      <c r="M8" s="39" t="n">
        <f aca="false">SUMIFS(Raw_Stripe!$H$6:$H$33,Raw_Stripe!$M$6:$M$33,"Nov-25",Raw_Stripe!$N$6:$N$33,"Subscription")</f>
        <v>0</v>
      </c>
      <c r="N8" s="39" t="n">
        <f aca="false">SUMIFS(Raw_Stripe!$H$6:$H$33,Raw_Stripe!$M$6:$M$33,"Dec-25",Raw_Stripe!$N$6:$N$33,"Subscription")</f>
        <v>0</v>
      </c>
      <c r="O8" s="39" t="n">
        <f aca="false">SUM(C8:N8)</f>
        <v>42547</v>
      </c>
      <c r="P8" s="1"/>
      <c r="Q8" s="1"/>
      <c r="R8" s="1"/>
    </row>
    <row r="9" customFormat="false" ht="19.5" hidden="false" customHeight="true" outlineLevel="0" collapsed="false">
      <c r="A9" s="1"/>
      <c r="B9" s="36" t="s">
        <v>85</v>
      </c>
      <c r="C9" s="37" t="n">
        <f aca="false">SUMIFS(Raw_Stripe!$H$6:$H$33,Raw_Stripe!$M$6:$M$33,"Jan-25",Raw_Stripe!$N$6:$N$33,"Development")</f>
        <v>6800</v>
      </c>
      <c r="D9" s="37" t="n">
        <f aca="false">SUMIFS(Raw_Stripe!$H$6:$H$33,Raw_Stripe!$M$6:$M$33,"Feb-25",Raw_Stripe!$N$6:$N$33,"Development")</f>
        <v>12000</v>
      </c>
      <c r="E9" s="37" t="n">
        <f aca="false">SUMIFS(Raw_Stripe!$H$6:$H$33,Raw_Stripe!$M$6:$M$33,"Mar-25",Raw_Stripe!$N$6:$N$33,"Development")</f>
        <v>18086.85</v>
      </c>
      <c r="F9" s="37" t="n">
        <f aca="false">SUMIFS(Raw_Stripe!$H$6:$H$33,Raw_Stripe!$M$6:$M$33,"Apr-25",Raw_Stripe!$N$6:$N$33,"Development")</f>
        <v>0</v>
      </c>
      <c r="G9" s="37" t="n">
        <f aca="false">SUMIFS(Raw_Stripe!$H$6:$H$33,Raw_Stripe!$M$6:$M$33,"May-25",Raw_Stripe!$N$6:$N$33,"Development")</f>
        <v>8500</v>
      </c>
      <c r="H9" s="37" t="n">
        <f aca="false">SUMIFS(Raw_Stripe!$H$6:$H$33,Raw_Stripe!$M$6:$M$33,"Jun-25",Raw_Stripe!$N$6:$N$33,"Development")</f>
        <v>0</v>
      </c>
      <c r="I9" s="37" t="n">
        <f aca="false">SUMIFS(Raw_Stripe!$H$6:$H$33,Raw_Stripe!$M$6:$M$33,"Jul-25",Raw_Stripe!$N$6:$N$33,"Development")</f>
        <v>10050.75</v>
      </c>
      <c r="J9" s="37" t="n">
        <f aca="false">SUMIFS(Raw_Stripe!$H$6:$H$33,Raw_Stripe!$M$6:$M$33,"Aug-25",Raw_Stripe!$N$6:$N$33,"Development")</f>
        <v>0</v>
      </c>
      <c r="K9" s="37" t="n">
        <f aca="false">SUMIFS(Raw_Stripe!$H$6:$H$33,Raw_Stripe!$M$6:$M$33,"Sep-25",Raw_Stripe!$N$6:$N$33,"Development")</f>
        <v>11200</v>
      </c>
      <c r="L9" s="37" t="n">
        <f aca="false">SUMIFS(Raw_Stripe!$H$6:$H$33,Raw_Stripe!$M$6:$M$33,"Oct-25",Raw_Stripe!$N$6:$N$33,"Development")</f>
        <v>0</v>
      </c>
      <c r="M9" s="37" t="n">
        <f aca="false">SUMIFS(Raw_Stripe!$H$6:$H$33,Raw_Stripe!$M$6:$M$33,"Nov-25",Raw_Stripe!$N$6:$N$33,"Development")</f>
        <v>0</v>
      </c>
      <c r="N9" s="37" t="n">
        <f aca="false">SUMIFS(Raw_Stripe!$H$6:$H$33,Raw_Stripe!$M$6:$M$33,"Dec-25",Raw_Stripe!$N$6:$N$33,"Development")</f>
        <v>0</v>
      </c>
      <c r="O9" s="37" t="n">
        <f aca="false">SUM(C9:N9)</f>
        <v>66637.6</v>
      </c>
      <c r="P9" s="1"/>
      <c r="Q9" s="1"/>
      <c r="R9" s="1"/>
    </row>
    <row r="10" customFormat="false" ht="24" hidden="false" customHeight="true" outlineLevel="0" collapsed="false">
      <c r="A10" s="1"/>
      <c r="B10" s="40" t="s">
        <v>86</v>
      </c>
      <c r="C10" s="41" t="n">
        <f aca="false">SUM(C7:C9)</f>
        <v>24784.46</v>
      </c>
      <c r="D10" s="41" t="n">
        <f aca="false">SUM(D7:D9)</f>
        <v>16234.3</v>
      </c>
      <c r="E10" s="41" t="n">
        <f aca="false">SUM(E7:E9)</f>
        <v>23120.94</v>
      </c>
      <c r="F10" s="41" t="n">
        <f aca="false">SUM(F7:F9)</f>
        <v>3888.26</v>
      </c>
      <c r="G10" s="41" t="n">
        <f aca="false">SUM(G7:G9)</f>
        <v>11173.47</v>
      </c>
      <c r="H10" s="41" t="n">
        <f aca="false">SUM(H7:H9)</f>
        <v>31061.03</v>
      </c>
      <c r="I10" s="41" t="n">
        <f aca="false">SUM(I7:I9)</f>
        <v>11466.71</v>
      </c>
      <c r="J10" s="41" t="n">
        <f aca="false">SUM(J7:J9)</f>
        <v>2831</v>
      </c>
      <c r="K10" s="41" t="n">
        <f aca="false">SUM(K7:K9)</f>
        <v>11200</v>
      </c>
      <c r="L10" s="41" t="n">
        <f aca="false">SUM(L7:L9)</f>
        <v>0</v>
      </c>
      <c r="M10" s="41" t="n">
        <f aca="false">SUM(M7:M9)</f>
        <v>0</v>
      </c>
      <c r="N10" s="41" t="n">
        <f aca="false">SUM(N7:N9)</f>
        <v>0</v>
      </c>
      <c r="O10" s="41" t="n">
        <f aca="false">SUM(C10:N10)</f>
        <v>135760.17</v>
      </c>
      <c r="P10" s="1"/>
      <c r="Q10" s="1"/>
      <c r="R10" s="1"/>
    </row>
    <row r="11" customFormat="false" ht="18" hidden="false" customHeight="true" outlineLevel="0" collapsed="false">
      <c r="A11" s="1"/>
      <c r="B11" s="42" t="s">
        <v>87</v>
      </c>
      <c r="C11" s="43" t="s">
        <v>88</v>
      </c>
      <c r="D11" s="44" t="n">
        <f aca="false">IFERROR((D10/C10)-1,"-")</f>
        <v>-0.344980685477916</v>
      </c>
      <c r="E11" s="44" t="n">
        <f aca="false">IFERROR((E10/D10)-1,"-")</f>
        <v>0.424203076202854</v>
      </c>
      <c r="F11" s="44" t="n">
        <f aca="false">IFERROR((F10/E10)-1,"-")</f>
        <v>-0.831829501741711</v>
      </c>
      <c r="G11" s="44" t="n">
        <f aca="false">IFERROR((G10/F10)-1,"-")</f>
        <v>1.8736427090781</v>
      </c>
      <c r="H11" s="44" t="n">
        <f aca="false">IFERROR((H10/G10)-1,"-")</f>
        <v>1.77989111708359</v>
      </c>
      <c r="I11" s="44" t="n">
        <f aca="false">IFERROR((I10/H10)-1,"-")</f>
        <v>-0.630832911851281</v>
      </c>
      <c r="J11" s="44" t="n">
        <f aca="false">IFERROR((J10/I10)-1,"-")</f>
        <v>-0.75311139812553</v>
      </c>
      <c r="K11" s="44" t="n">
        <f aca="false">IFERROR((K10/J10)-1,"-")</f>
        <v>2.95619922288944</v>
      </c>
      <c r="L11" s="44" t="n">
        <f aca="false">IFERROR((L10/K10)-1,"-")</f>
        <v>-1</v>
      </c>
      <c r="M11" s="44" t="str">
        <f aca="false">IFERROR((M10/L10)-1,"-")</f>
        <v>-</v>
      </c>
      <c r="N11" s="44" t="str">
        <f aca="false">IFERROR((N10/M10)-1,"-")</f>
        <v>-</v>
      </c>
      <c r="O11" s="1"/>
      <c r="P11" s="1"/>
      <c r="Q11" s="1"/>
      <c r="R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customFormat="false" ht="21.75" hidden="false" customHeight="true" outlineLevel="0" collapsed="false">
      <c r="A14" s="1"/>
      <c r="B14" s="10" t="s">
        <v>89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"/>
      <c r="R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4">
    <mergeCell ref="B2:P2"/>
    <mergeCell ref="B3:P3"/>
    <mergeCell ref="B5:P5"/>
    <mergeCell ref="B14:P14"/>
  </mergeCells>
  <conditionalFormatting sqref="D11:N11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O7:O9">
    <cfRule type="dataBar" priority="4">
      <dataBar showValue="1" minLength="10" maxLength="90">
        <cfvo type="min" val="0"/>
        <cfvo type="max" val="0"/>
        <color rgb="FF635BFF"/>
      </dataBar>
      <extLst>
        <ext xmlns:x14="http://schemas.microsoft.com/office/spreadsheetml/2009/9/main" uri="{B025F937-C7B1-47D3-B67F-A62EFF666E3E}">
          <x14:id>{BBD9CEC0-7040-44C5-8D7C-4A37F01B28C5}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D9CEC0-7040-44C5-8D7C-4A37F01B28C5}">
            <x14:dataBar minLength="10" maxLength="90" axisPosition="none" gradient="true">
              <x14:cfvo type="min"/>
              <x14:cfvo type="max"/>
              <x14:negativeFillColor rgb="FF635BFF"/>
              <x14:axisColor rgb="FF000000"/>
            </x14:dataBar>
          </x14:cfRule>
          <xm:sqref>O7:O9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5252"/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90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91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5" t="s">
        <v>92</v>
      </c>
      <c r="C5" s="5"/>
      <c r="D5" s="5"/>
      <c r="E5" s="5"/>
      <c r="F5" s="5"/>
      <c r="G5" s="5"/>
      <c r="H5" s="5"/>
      <c r="I5" s="5"/>
      <c r="J5" s="5"/>
      <c r="K5" s="5"/>
      <c r="L5" s="1"/>
      <c r="M5" s="1"/>
      <c r="N5" s="1"/>
    </row>
    <row r="6" customFormat="false" ht="31.5" hidden="false" customHeight="true" outlineLevel="0" collapsed="false">
      <c r="A6" s="1"/>
      <c r="B6" s="23" t="s">
        <v>93</v>
      </c>
      <c r="C6" s="23" t="s">
        <v>94</v>
      </c>
      <c r="D6" s="23" t="s">
        <v>95</v>
      </c>
      <c r="E6" s="23" t="s">
        <v>96</v>
      </c>
      <c r="F6" s="23" t="s">
        <v>97</v>
      </c>
      <c r="G6" s="23" t="s">
        <v>98</v>
      </c>
      <c r="H6" s="23" t="s">
        <v>99</v>
      </c>
      <c r="I6" s="23" t="s">
        <v>100</v>
      </c>
      <c r="J6" s="23" t="s">
        <v>101</v>
      </c>
      <c r="K6" s="23" t="s">
        <v>102</v>
      </c>
      <c r="L6" s="1"/>
      <c r="M6" s="1"/>
      <c r="N6" s="1"/>
    </row>
    <row r="7" customFormat="false" ht="19.5" hidden="false" customHeight="true" outlineLevel="0" collapsed="false">
      <c r="A7" s="1"/>
      <c r="B7" s="45" t="s">
        <v>103</v>
      </c>
      <c r="C7" s="46" t="n">
        <f aca="false">SUMIFS(Raw_Stripe!$L$6:$L$33,Raw_Stripe!$D$6:$D$33,B7,Raw_Stripe!$O$6:$O$33,"UAE")</f>
        <v>2054.5</v>
      </c>
      <c r="D7" s="46" t="n">
        <f aca="true">SUMIFS(Raw_Stripe!$L$6:$L$33,Raw_Stripe!$D$6:$D$33,B7,Raw_Stripe!$O$6:$O$33,"UAE",Raw_Stripe!$C$6:$C$33,"&gt;="&amp;(TODAY()-30))</f>
        <v>0</v>
      </c>
      <c r="E7" s="46" t="n">
        <f aca="true">SUMIFS(Raw_Stripe!$L$6:$L$33,Raw_Stripe!$D$6:$D$33,B7,Raw_Stripe!$O$6:$O$33,"UAE",Raw_Stripe!$C$6:$C$33,"&gt;="&amp;(TODAY()-60),Raw_Stripe!$C$6:$C$33,"&lt;"&amp;(TODAY()-30))</f>
        <v>0</v>
      </c>
      <c r="F7" s="46" t="n">
        <f aca="true">SUMIFS(Raw_Stripe!$L$6:$L$33,Raw_Stripe!$D$6:$D$33,B7,Raw_Stripe!$O$6:$O$33,"UAE",Raw_Stripe!$C$6:$C$33,"&lt;"&amp;(TODAY()-60))</f>
        <v>2054.5</v>
      </c>
      <c r="G7" s="47" t="s">
        <v>104</v>
      </c>
      <c r="H7" s="46" t="n">
        <f aca="false">C7*Settings_FX!D$27</f>
        <v>559.44035</v>
      </c>
      <c r="I7" s="48" t="n">
        <f aca="false">IFERROR(C7/$C$15,0)</f>
        <v>1</v>
      </c>
      <c r="J7" s="49" t="str">
        <f aca="false">IFERROR(minifs(Raw_Stripe!$C$6:$C$33,Raw_Stripe!$D$6:$D$33,B7,Raw_Stripe!$L$6:$L$33,"&gt;0"),"")</f>
        <v/>
      </c>
      <c r="K7" s="47" t="str">
        <f aca="false">IF(F7&gt;0,"⚠ 60+ days",IF(E7&gt;0,"⚠ 31-60 days","✓ Current"))</f>
        <v>⚠ 60+ days</v>
      </c>
      <c r="L7" s="1"/>
      <c r="M7" s="1"/>
      <c r="N7" s="1"/>
    </row>
    <row r="8" customFormat="false" ht="19.5" hidden="false" customHeight="true" outlineLevel="0" collapsed="false">
      <c r="A8" s="1"/>
      <c r="B8" s="50" t="s">
        <v>105</v>
      </c>
      <c r="C8" s="51" t="n">
        <f aca="false">SUMIFS(Raw_Stripe!$L$6:$L$33,Raw_Stripe!$D$6:$D$33,B8,Raw_Stripe!$O$6:$O$33,"UAE")</f>
        <v>0</v>
      </c>
      <c r="D8" s="51" t="n">
        <f aca="true">SUMIFS(Raw_Stripe!$L$6:$L$33,Raw_Stripe!$D$6:$D$33,B8,Raw_Stripe!$O$6:$O$33,"UAE",Raw_Stripe!$C$6:$C$33,"&gt;="&amp;(TODAY()-30))</f>
        <v>0</v>
      </c>
      <c r="E8" s="51" t="n">
        <f aca="true">SUMIFS(Raw_Stripe!$L$6:$L$33,Raw_Stripe!$D$6:$D$33,B8,Raw_Stripe!$O$6:$O$33,"UAE",Raw_Stripe!$C$6:$C$33,"&gt;="&amp;(TODAY()-60),Raw_Stripe!$C$6:$C$33,"&lt;"&amp;(TODAY()-30))</f>
        <v>0</v>
      </c>
      <c r="F8" s="51" t="n">
        <f aca="true">SUMIFS(Raw_Stripe!$L$6:$L$33,Raw_Stripe!$D$6:$D$33,B8,Raw_Stripe!$O$6:$O$33,"UAE",Raw_Stripe!$C$6:$C$33,"&lt;"&amp;(TODAY()-60))</f>
        <v>0</v>
      </c>
      <c r="G8" s="52" t="s">
        <v>104</v>
      </c>
      <c r="H8" s="51" t="n">
        <f aca="false">C8*Settings_FX!D$27</f>
        <v>0</v>
      </c>
      <c r="I8" s="53" t="n">
        <f aca="false">IFERROR(C8/$C$15,0)</f>
        <v>0</v>
      </c>
      <c r="J8" s="54" t="str">
        <f aca="false">IFERROR(minifs(Raw_Stripe!$C$6:$C$33,Raw_Stripe!$D$6:$D$33,B8,Raw_Stripe!$L$6:$L$33,"&gt;0"),"")</f>
        <v/>
      </c>
      <c r="K8" s="52" t="str">
        <f aca="false">IF(F8&gt;0,"⚠ 60+ days",IF(E8&gt;0,"⚠ 31-60 days","✓ Current"))</f>
        <v>✓ Current</v>
      </c>
      <c r="L8" s="1"/>
      <c r="M8" s="1"/>
      <c r="N8" s="1"/>
    </row>
    <row r="9" customFormat="false" ht="19.5" hidden="false" customHeight="true" outlineLevel="0" collapsed="false">
      <c r="A9" s="1"/>
      <c r="B9" s="45" t="s">
        <v>106</v>
      </c>
      <c r="C9" s="46" t="n">
        <f aca="false">SUMIFS(Raw_Stripe!$L$6:$L$33,Raw_Stripe!$D$6:$D$33,B9,Raw_Stripe!$O$6:$O$33,"UAE")</f>
        <v>0</v>
      </c>
      <c r="D9" s="46" t="n">
        <f aca="true">SUMIFS(Raw_Stripe!$L$6:$L$33,Raw_Stripe!$D$6:$D$33,B9,Raw_Stripe!$O$6:$O$33,"UAE",Raw_Stripe!$C$6:$C$33,"&gt;="&amp;(TODAY()-30))</f>
        <v>0</v>
      </c>
      <c r="E9" s="46" t="n">
        <f aca="true">SUMIFS(Raw_Stripe!$L$6:$L$33,Raw_Stripe!$D$6:$D$33,B9,Raw_Stripe!$O$6:$O$33,"UAE",Raw_Stripe!$C$6:$C$33,"&gt;="&amp;(TODAY()-60),Raw_Stripe!$C$6:$C$33,"&lt;"&amp;(TODAY()-30))</f>
        <v>0</v>
      </c>
      <c r="F9" s="46" t="n">
        <f aca="true">SUMIFS(Raw_Stripe!$L$6:$L$33,Raw_Stripe!$D$6:$D$33,B9,Raw_Stripe!$O$6:$O$33,"UAE",Raw_Stripe!$C$6:$C$33,"&lt;"&amp;(TODAY()-60))</f>
        <v>0</v>
      </c>
      <c r="G9" s="47" t="s">
        <v>107</v>
      </c>
      <c r="H9" s="46" t="n">
        <f aca="false">C9</f>
        <v>0</v>
      </c>
      <c r="I9" s="48" t="n">
        <f aca="false">IFERROR(C9/$C$15,0)</f>
        <v>0</v>
      </c>
      <c r="J9" s="49" t="str">
        <f aca="false">IFERROR(minifs(Raw_Stripe!$C$6:$C$33,Raw_Stripe!$D$6:$D$33,B9,Raw_Stripe!$L$6:$L$33,"&gt;0"),"")</f>
        <v/>
      </c>
      <c r="K9" s="47" t="str">
        <f aca="false">IF(F9&gt;0,"⚠ 60+ days",IF(E9&gt;0,"⚠ 31-60 days","✓ Current"))</f>
        <v>✓ Current</v>
      </c>
      <c r="L9" s="1"/>
      <c r="M9" s="1"/>
      <c r="N9" s="1"/>
    </row>
    <row r="10" customFormat="false" ht="19.5" hidden="false" customHeight="true" outlineLevel="0" collapsed="false">
      <c r="A10" s="1"/>
      <c r="B10" s="50" t="s">
        <v>108</v>
      </c>
      <c r="C10" s="51" t="n">
        <f aca="false">SUMIFS(Raw_Stripe!$L$6:$L$33,Raw_Stripe!$D$6:$D$33,B10,Raw_Stripe!$O$6:$O$33,"UAE")</f>
        <v>0</v>
      </c>
      <c r="D10" s="51" t="n">
        <f aca="true">SUMIFS(Raw_Stripe!$L$6:$L$33,Raw_Stripe!$D$6:$D$33,B10,Raw_Stripe!$O$6:$O$33,"UAE",Raw_Stripe!$C$6:$C$33,"&gt;="&amp;(TODAY()-30))</f>
        <v>0</v>
      </c>
      <c r="E10" s="51" t="n">
        <f aca="true">SUMIFS(Raw_Stripe!$L$6:$L$33,Raw_Stripe!$D$6:$D$33,B10,Raw_Stripe!$O$6:$O$33,"UAE",Raw_Stripe!$C$6:$C$33,"&gt;="&amp;(TODAY()-60),Raw_Stripe!$C$6:$C$33,"&lt;"&amp;(TODAY()-30))</f>
        <v>0</v>
      </c>
      <c r="F10" s="51" t="n">
        <f aca="true">SUMIFS(Raw_Stripe!$L$6:$L$33,Raw_Stripe!$D$6:$D$33,B10,Raw_Stripe!$O$6:$O$33,"UAE",Raw_Stripe!$C$6:$C$33,"&lt;"&amp;(TODAY()-60))</f>
        <v>0</v>
      </c>
      <c r="G10" s="52" t="s">
        <v>104</v>
      </c>
      <c r="H10" s="51" t="n">
        <f aca="false">C10*Settings_FX!D$27</f>
        <v>0</v>
      </c>
      <c r="I10" s="53" t="n">
        <f aca="false">IFERROR(C10/$C$15,0)</f>
        <v>0</v>
      </c>
      <c r="J10" s="54" t="str">
        <f aca="false">IFERROR(minifs(Raw_Stripe!$C$6:$C$33,Raw_Stripe!$D$6:$D$33,B10,Raw_Stripe!$L$6:$L$33,"&gt;0"),"")</f>
        <v/>
      </c>
      <c r="K10" s="52" t="str">
        <f aca="false">IF(F10&gt;0,"⚠ 60+ days",IF(E10&gt;0,"⚠ 31-60 days","✓ Current"))</f>
        <v>✓ Current</v>
      </c>
      <c r="L10" s="1"/>
      <c r="M10" s="1"/>
      <c r="N10" s="1"/>
    </row>
    <row r="11" customFormat="false" ht="19.5" hidden="false" customHeight="true" outlineLevel="0" collapsed="false">
      <c r="A11" s="1"/>
      <c r="B11" s="45" t="s">
        <v>109</v>
      </c>
      <c r="C11" s="46" t="n">
        <f aca="false">SUMIFS(Raw_Stripe!$L$6:$L$33,Raw_Stripe!$D$6:$D$33,B11,Raw_Stripe!$O$6:$O$33,"UAE")</f>
        <v>0</v>
      </c>
      <c r="D11" s="46" t="n">
        <f aca="true">SUMIFS(Raw_Stripe!$L$6:$L$33,Raw_Stripe!$D$6:$D$33,B11,Raw_Stripe!$O$6:$O$33,"UAE",Raw_Stripe!$C$6:$C$33,"&gt;="&amp;(TODAY()-30))</f>
        <v>0</v>
      </c>
      <c r="E11" s="46" t="n">
        <f aca="true">SUMIFS(Raw_Stripe!$L$6:$L$33,Raw_Stripe!$D$6:$D$33,B11,Raw_Stripe!$O$6:$O$33,"UAE",Raw_Stripe!$C$6:$C$33,"&gt;="&amp;(TODAY()-60),Raw_Stripe!$C$6:$C$33,"&lt;"&amp;(TODAY()-30))</f>
        <v>0</v>
      </c>
      <c r="F11" s="46" t="n">
        <f aca="true">SUMIFS(Raw_Stripe!$L$6:$L$33,Raw_Stripe!$D$6:$D$33,B11,Raw_Stripe!$O$6:$O$33,"UAE",Raw_Stripe!$C$6:$C$33,"&lt;"&amp;(TODAY()-60))</f>
        <v>0</v>
      </c>
      <c r="G11" s="47" t="s">
        <v>104</v>
      </c>
      <c r="H11" s="46" t="n">
        <f aca="false">C11*Settings_FX!D$27</f>
        <v>0</v>
      </c>
      <c r="I11" s="48" t="n">
        <f aca="false">IFERROR(C11/$C$15,0)</f>
        <v>0</v>
      </c>
      <c r="J11" s="49" t="str">
        <f aca="false">IFERROR(minifs(Raw_Stripe!$C$6:$C$33,Raw_Stripe!$D$6:$D$33,B11,Raw_Stripe!$L$6:$L$33,"&gt;0"),"")</f>
        <v/>
      </c>
      <c r="K11" s="47" t="str">
        <f aca="false">IF(F11&gt;0,"⚠ 60+ days",IF(E11&gt;0,"⚠ 31-60 days","✓ Current"))</f>
        <v>✓ Current</v>
      </c>
      <c r="L11" s="1"/>
      <c r="M11" s="1"/>
      <c r="N11" s="1"/>
    </row>
    <row r="12" customFormat="false" ht="19.5" hidden="false" customHeight="true" outlineLevel="0" collapsed="false">
      <c r="A12" s="1"/>
      <c r="B12" s="50" t="s">
        <v>110</v>
      </c>
      <c r="C12" s="51" t="n">
        <f aca="false">SUMIFS(Raw_Stripe!$L$6:$L$33,Raw_Stripe!$D$6:$D$33,B12,Raw_Stripe!$O$6:$O$33,"UAE")</f>
        <v>0</v>
      </c>
      <c r="D12" s="51" t="n">
        <f aca="true">SUMIFS(Raw_Stripe!$L$6:$L$33,Raw_Stripe!$D$6:$D$33,B12,Raw_Stripe!$O$6:$O$33,"UAE",Raw_Stripe!$C$6:$C$33,"&gt;="&amp;(TODAY()-30))</f>
        <v>0</v>
      </c>
      <c r="E12" s="51" t="n">
        <f aca="true">SUMIFS(Raw_Stripe!$L$6:$L$33,Raw_Stripe!$D$6:$D$33,B12,Raw_Stripe!$O$6:$O$33,"UAE",Raw_Stripe!$C$6:$C$33,"&gt;="&amp;(TODAY()-60),Raw_Stripe!$C$6:$C$33,"&lt;"&amp;(TODAY()-30))</f>
        <v>0</v>
      </c>
      <c r="F12" s="51" t="n">
        <f aca="true">SUMIFS(Raw_Stripe!$L$6:$L$33,Raw_Stripe!$D$6:$D$33,B12,Raw_Stripe!$O$6:$O$33,"UAE",Raw_Stripe!$C$6:$C$33,"&lt;"&amp;(TODAY()-60))</f>
        <v>0</v>
      </c>
      <c r="G12" s="52" t="s">
        <v>104</v>
      </c>
      <c r="H12" s="51" t="n">
        <f aca="false">C12*Settings_FX!D$27</f>
        <v>0</v>
      </c>
      <c r="I12" s="53" t="n">
        <f aca="false">IFERROR(C12/$C$15,0)</f>
        <v>0</v>
      </c>
      <c r="J12" s="54" t="str">
        <f aca="false">IFERROR(minifs(Raw_Stripe!$C$6:$C$33,Raw_Stripe!$D$6:$D$33,B12,Raw_Stripe!$L$6:$L$33,"&gt;0"),"")</f>
        <v/>
      </c>
      <c r="K12" s="52" t="str">
        <f aca="false">IF(F12&gt;0,"⚠ 60+ days",IF(E12&gt;0,"⚠ 31-60 days","✓ Current"))</f>
        <v>✓ Current</v>
      </c>
      <c r="L12" s="1"/>
      <c r="M12" s="1"/>
      <c r="N12" s="1"/>
    </row>
    <row r="13" customFormat="false" ht="19.5" hidden="false" customHeight="true" outlineLevel="0" collapsed="false">
      <c r="A13" s="1"/>
      <c r="B13" s="45" t="s">
        <v>111</v>
      </c>
      <c r="C13" s="46" t="n">
        <f aca="false">SUMIFS(Raw_Stripe!$L$6:$L$33,Raw_Stripe!$D$6:$D$33,B13,Raw_Stripe!$O$6:$O$33,"UAE")</f>
        <v>0</v>
      </c>
      <c r="D13" s="46" t="n">
        <f aca="true">SUMIFS(Raw_Stripe!$L$6:$L$33,Raw_Stripe!$D$6:$D$33,B13,Raw_Stripe!$O$6:$O$33,"UAE",Raw_Stripe!$C$6:$C$33,"&gt;="&amp;(TODAY()-30))</f>
        <v>0</v>
      </c>
      <c r="E13" s="46" t="n">
        <f aca="true">SUMIFS(Raw_Stripe!$L$6:$L$33,Raw_Stripe!$D$6:$D$33,B13,Raw_Stripe!$O$6:$O$33,"UAE",Raw_Stripe!$C$6:$C$33,"&gt;="&amp;(TODAY()-60),Raw_Stripe!$C$6:$C$33,"&lt;"&amp;(TODAY()-30))</f>
        <v>0</v>
      </c>
      <c r="F13" s="46" t="n">
        <f aca="true">SUMIFS(Raw_Stripe!$L$6:$L$33,Raw_Stripe!$D$6:$D$33,B13,Raw_Stripe!$O$6:$O$33,"UAE",Raw_Stripe!$C$6:$C$33,"&lt;"&amp;(TODAY()-60))</f>
        <v>0</v>
      </c>
      <c r="G13" s="47" t="s">
        <v>107</v>
      </c>
      <c r="H13" s="46" t="n">
        <f aca="false">C13</f>
        <v>0</v>
      </c>
      <c r="I13" s="48" t="n">
        <f aca="false">IFERROR(C13/$C$15,0)</f>
        <v>0</v>
      </c>
      <c r="J13" s="49" t="str">
        <f aca="false">IFERROR(minifs(Raw_Stripe!$C$6:$C$33,Raw_Stripe!$D$6:$D$33,B13,Raw_Stripe!$L$6:$L$33,"&gt;0"),"")</f>
        <v/>
      </c>
      <c r="K13" s="47" t="str">
        <f aca="false">IF(F13&gt;0,"⚠ 60+ days",IF(E13&gt;0,"⚠ 31-60 days","✓ Current"))</f>
        <v>✓ Current</v>
      </c>
      <c r="L13" s="1"/>
      <c r="M13" s="1"/>
      <c r="N13" s="1"/>
    </row>
    <row r="14" customFormat="false" ht="19.5" hidden="false" customHeight="true" outlineLevel="0" collapsed="false">
      <c r="A14" s="1"/>
      <c r="B14" s="50" t="s">
        <v>112</v>
      </c>
      <c r="C14" s="51" t="n">
        <f aca="false">SUMIFS(Raw_Stripe!$L$6:$L$33,Raw_Stripe!$D$6:$D$33,B14,Raw_Stripe!$O$6:$O$33,"UAE")</f>
        <v>0</v>
      </c>
      <c r="D14" s="51" t="n">
        <f aca="true">SUMIFS(Raw_Stripe!$L$6:$L$33,Raw_Stripe!$D$6:$D$33,B14,Raw_Stripe!$O$6:$O$33,"UAE",Raw_Stripe!$C$6:$C$33,"&gt;="&amp;(TODAY()-30))</f>
        <v>0</v>
      </c>
      <c r="E14" s="51" t="n">
        <f aca="true">SUMIFS(Raw_Stripe!$L$6:$L$33,Raw_Stripe!$D$6:$D$33,B14,Raw_Stripe!$O$6:$O$33,"UAE",Raw_Stripe!$C$6:$C$33,"&gt;="&amp;(TODAY()-60),Raw_Stripe!$C$6:$C$33,"&lt;"&amp;(TODAY()-30))</f>
        <v>0</v>
      </c>
      <c r="F14" s="51" t="n">
        <f aca="true">SUMIFS(Raw_Stripe!$L$6:$L$33,Raw_Stripe!$D$6:$D$33,B14,Raw_Stripe!$O$6:$O$33,"UAE",Raw_Stripe!$C$6:$C$33,"&lt;"&amp;(TODAY()-60))</f>
        <v>0</v>
      </c>
      <c r="G14" s="52" t="s">
        <v>107</v>
      </c>
      <c r="H14" s="51" t="n">
        <f aca="false">C14</f>
        <v>0</v>
      </c>
      <c r="I14" s="53" t="n">
        <f aca="false">IFERROR(C14/$C$15,0)</f>
        <v>0</v>
      </c>
      <c r="J14" s="54" t="str">
        <f aca="false">IFERROR(minifs(Raw_Stripe!$C$6:$C$33,Raw_Stripe!$D$6:$D$33,B14,Raw_Stripe!$L$6:$L$33,"&gt;0"),"")</f>
        <v/>
      </c>
      <c r="K14" s="52" t="str">
        <f aca="false">IF(F14&gt;0,"⚠ 60+ days",IF(E14&gt;0,"⚠ 31-60 days","✓ Current"))</f>
        <v>✓ Current</v>
      </c>
      <c r="L14" s="1"/>
      <c r="M14" s="1"/>
      <c r="N14" s="1"/>
    </row>
    <row r="15" customFormat="false" ht="24" hidden="false" customHeight="true" outlineLevel="0" collapsed="false">
      <c r="A15" s="1"/>
      <c r="B15" s="40" t="s">
        <v>113</v>
      </c>
      <c r="C15" s="55" t="n">
        <f aca="false">SUM(C7:C14)</f>
        <v>2054.5</v>
      </c>
      <c r="D15" s="55" t="n">
        <f aca="false">SUM(D7:D14)</f>
        <v>0</v>
      </c>
      <c r="E15" s="55" t="n">
        <f aca="false">SUM(E7:E14)</f>
        <v>0</v>
      </c>
      <c r="F15" s="55" t="n">
        <f aca="false">SUM(F7:F14)</f>
        <v>2054.5</v>
      </c>
      <c r="G15" s="56"/>
      <c r="H15" s="55" t="n">
        <f aca="false">SUM(H7:H14)</f>
        <v>559.44035</v>
      </c>
      <c r="I15" s="56"/>
      <c r="J15" s="56"/>
      <c r="K15" s="56"/>
      <c r="L15" s="1"/>
      <c r="M15" s="1"/>
      <c r="N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customFormat="false" ht="25.5" hidden="false" customHeight="true" outlineLevel="0" collapsed="false">
      <c r="A18" s="1"/>
      <c r="B18" s="5" t="s">
        <v>114</v>
      </c>
      <c r="C18" s="5"/>
      <c r="D18" s="5"/>
      <c r="E18" s="5"/>
      <c r="F18" s="5"/>
      <c r="G18" s="5"/>
      <c r="H18" s="5"/>
      <c r="I18" s="5"/>
      <c r="J18" s="5"/>
      <c r="K18" s="5"/>
      <c r="L18" s="1"/>
      <c r="M18" s="1"/>
      <c r="N18" s="1"/>
    </row>
    <row r="19" customFormat="false" ht="31.5" hidden="false" customHeight="true" outlineLevel="0" collapsed="false">
      <c r="A19" s="1"/>
      <c r="B19" s="23" t="s">
        <v>93</v>
      </c>
      <c r="C19" s="23" t="s">
        <v>94</v>
      </c>
      <c r="D19" s="23" t="s">
        <v>95</v>
      </c>
      <c r="E19" s="23" t="s">
        <v>96</v>
      </c>
      <c r="F19" s="23" t="s">
        <v>97</v>
      </c>
      <c r="G19" s="23" t="s">
        <v>98</v>
      </c>
      <c r="H19" s="23" t="s">
        <v>99</v>
      </c>
      <c r="I19" s="23" t="s">
        <v>100</v>
      </c>
      <c r="J19" s="23" t="s">
        <v>101</v>
      </c>
      <c r="K19" s="23" t="s">
        <v>102</v>
      </c>
      <c r="L19" s="1"/>
      <c r="M19" s="1"/>
      <c r="N19" s="1"/>
    </row>
    <row r="20" customFormat="false" ht="19.5" hidden="false" customHeight="true" outlineLevel="0" collapsed="false">
      <c r="A20" s="1"/>
      <c r="B20" s="45" t="s">
        <v>115</v>
      </c>
      <c r="C20" s="46" t="n">
        <f aca="false">SUMIFS(Raw_Stripe!$L$6:$L$33,Raw_Stripe!$D$6:$D$33,B20,Raw_Stripe!$O$6:$O$33,"SG")</f>
        <v>0</v>
      </c>
      <c r="D20" s="46" t="n">
        <f aca="true">SUMIFS(Raw_Stripe!$L$6:$L$33,Raw_Stripe!$D$6:$D$33,B20,Raw_Stripe!$O$6:$O$33,"SG",Raw_Stripe!$C$6:$C$33,"&gt;="&amp;(TODAY()-30))</f>
        <v>0</v>
      </c>
      <c r="E20" s="46" t="n">
        <f aca="true">SUMIFS(Raw_Stripe!$L$6:$L$33,Raw_Stripe!$D$6:$D$33,B20,Raw_Stripe!$O$6:$O$33,"SG",Raw_Stripe!$C$6:$C$33,"&gt;="&amp;(TODAY()-60),Raw_Stripe!$C$6:$C$33,"&lt;"&amp;(TODAY()-30))</f>
        <v>0</v>
      </c>
      <c r="F20" s="46" t="n">
        <f aca="true">SUMIFS(Raw_Stripe!$L$6:$L$33,Raw_Stripe!$D$6:$D$33,B20,Raw_Stripe!$O$6:$O$33,"SG",Raw_Stripe!$C$6:$C$33,"&lt;"&amp;(TODAY()-60))</f>
        <v>0</v>
      </c>
      <c r="G20" s="47" t="s">
        <v>116</v>
      </c>
      <c r="H20" s="46" t="n">
        <f aca="false">C20*Settings_FX!E$27</f>
        <v>0</v>
      </c>
      <c r="I20" s="48" t="n">
        <f aca="false">IFERROR(C20/$C$27,0)</f>
        <v>0</v>
      </c>
      <c r="J20" s="49" t="str">
        <f aca="false">IFERROR(minifs(Raw_Stripe!$C$6:$C$33,Raw_Stripe!$D$6:$D$33,B20,Raw_Stripe!$L$6:$L$33,"&gt;0"),"")</f>
        <v/>
      </c>
      <c r="K20" s="47" t="str">
        <f aca="false">IF(F20&gt;0,"⚠ 60+ days",IF(E20&gt;0,"⚠ 31-60 days","✓ Current"))</f>
        <v>✓ Current</v>
      </c>
      <c r="L20" s="1"/>
      <c r="M20" s="1"/>
      <c r="N20" s="1"/>
    </row>
    <row r="21" customFormat="false" ht="19.5" hidden="false" customHeight="true" outlineLevel="0" collapsed="false">
      <c r="A21" s="1"/>
      <c r="B21" s="50" t="s">
        <v>117</v>
      </c>
      <c r="C21" s="51" t="n">
        <f aca="false">SUMIFS(Raw_Stripe!$L$6:$L$33,Raw_Stripe!$D$6:$D$33,B21,Raw_Stripe!$O$6:$O$33,"SG")</f>
        <v>0</v>
      </c>
      <c r="D21" s="51" t="n">
        <f aca="true">SUMIFS(Raw_Stripe!$L$6:$L$33,Raw_Stripe!$D$6:$D$33,B21,Raw_Stripe!$O$6:$O$33,"SG",Raw_Stripe!$C$6:$C$33,"&gt;="&amp;(TODAY()-30))</f>
        <v>0</v>
      </c>
      <c r="E21" s="51" t="n">
        <f aca="true">SUMIFS(Raw_Stripe!$L$6:$L$33,Raw_Stripe!$D$6:$D$33,B21,Raw_Stripe!$O$6:$O$33,"SG",Raw_Stripe!$C$6:$C$33,"&gt;="&amp;(TODAY()-60),Raw_Stripe!$C$6:$C$33,"&lt;"&amp;(TODAY()-30))</f>
        <v>0</v>
      </c>
      <c r="F21" s="51" t="n">
        <f aca="true">SUMIFS(Raw_Stripe!$L$6:$L$33,Raw_Stripe!$D$6:$D$33,B21,Raw_Stripe!$O$6:$O$33,"SG",Raw_Stripe!$C$6:$C$33,"&lt;"&amp;(TODAY()-60))</f>
        <v>0</v>
      </c>
      <c r="G21" s="52" t="s">
        <v>107</v>
      </c>
      <c r="H21" s="51" t="n">
        <f aca="false">C21</f>
        <v>0</v>
      </c>
      <c r="I21" s="53" t="n">
        <f aca="false">IFERROR(C21/$C$27,0)</f>
        <v>0</v>
      </c>
      <c r="J21" s="54" t="str">
        <f aca="false">IFERROR(minifs(Raw_Stripe!$C$6:$C$33,Raw_Stripe!$D$6:$D$33,B21,Raw_Stripe!$L$6:$L$33,"&gt;0"),"")</f>
        <v/>
      </c>
      <c r="K21" s="52" t="str">
        <f aca="false">IF(F21&gt;0,"⚠ 60+ days",IF(E21&gt;0,"⚠ 31-60 days","✓ Current"))</f>
        <v>✓ Current</v>
      </c>
      <c r="L21" s="1"/>
      <c r="M21" s="1"/>
      <c r="N21" s="1"/>
    </row>
    <row r="22" customFormat="false" ht="19.5" hidden="false" customHeight="true" outlineLevel="0" collapsed="false">
      <c r="A22" s="1"/>
      <c r="B22" s="45" t="s">
        <v>118</v>
      </c>
      <c r="C22" s="46" t="n">
        <f aca="false">SUMIFS(Raw_Stripe!$L$6:$L$33,Raw_Stripe!$D$6:$D$33,B22,Raw_Stripe!$O$6:$O$33,"SG")</f>
        <v>0</v>
      </c>
      <c r="D22" s="46" t="n">
        <f aca="true">SUMIFS(Raw_Stripe!$L$6:$L$33,Raw_Stripe!$D$6:$D$33,B22,Raw_Stripe!$O$6:$O$33,"SG",Raw_Stripe!$C$6:$C$33,"&gt;="&amp;(TODAY()-30))</f>
        <v>0</v>
      </c>
      <c r="E22" s="46" t="n">
        <f aca="true">SUMIFS(Raw_Stripe!$L$6:$L$33,Raw_Stripe!$D$6:$D$33,B22,Raw_Stripe!$O$6:$O$33,"SG",Raw_Stripe!$C$6:$C$33,"&gt;="&amp;(TODAY()-60),Raw_Stripe!$C$6:$C$33,"&lt;"&amp;(TODAY()-30))</f>
        <v>0</v>
      </c>
      <c r="F22" s="46" t="n">
        <f aca="true">SUMIFS(Raw_Stripe!$L$6:$L$33,Raw_Stripe!$D$6:$D$33,B22,Raw_Stripe!$O$6:$O$33,"SG",Raw_Stripe!$C$6:$C$33,"&lt;"&amp;(TODAY()-60))</f>
        <v>0</v>
      </c>
      <c r="G22" s="47" t="s">
        <v>116</v>
      </c>
      <c r="H22" s="46" t="n">
        <f aca="false">C22*Settings_FX!E$27</f>
        <v>0</v>
      </c>
      <c r="I22" s="48" t="n">
        <f aca="false">IFERROR(C22/$C$27,0)</f>
        <v>0</v>
      </c>
      <c r="J22" s="49" t="str">
        <f aca="false">IFERROR(minifs(Raw_Stripe!$C$6:$C$33,Raw_Stripe!$D$6:$D$33,B22,Raw_Stripe!$L$6:$L$33,"&gt;0"),"")</f>
        <v/>
      </c>
      <c r="K22" s="47" t="str">
        <f aca="false">IF(F22&gt;0,"⚠ 60+ days",IF(E22&gt;0,"⚠ 31-60 days","✓ Current"))</f>
        <v>✓ Current</v>
      </c>
      <c r="L22" s="1"/>
      <c r="M22" s="1"/>
      <c r="N22" s="1"/>
    </row>
    <row r="23" customFormat="false" ht="19.5" hidden="false" customHeight="true" outlineLevel="0" collapsed="false">
      <c r="A23" s="1"/>
      <c r="B23" s="50" t="s">
        <v>119</v>
      </c>
      <c r="C23" s="51" t="n">
        <f aca="false">SUMIFS(Raw_Stripe!$L$6:$L$33,Raw_Stripe!$D$6:$D$33,B23,Raw_Stripe!$O$6:$O$33,"SG")</f>
        <v>0</v>
      </c>
      <c r="D23" s="51" t="n">
        <f aca="true">SUMIFS(Raw_Stripe!$L$6:$L$33,Raw_Stripe!$D$6:$D$33,B23,Raw_Stripe!$O$6:$O$33,"SG",Raw_Stripe!$C$6:$C$33,"&gt;="&amp;(TODAY()-30))</f>
        <v>0</v>
      </c>
      <c r="E23" s="51" t="n">
        <f aca="true">SUMIFS(Raw_Stripe!$L$6:$L$33,Raw_Stripe!$D$6:$D$33,B23,Raw_Stripe!$O$6:$O$33,"SG",Raw_Stripe!$C$6:$C$33,"&gt;="&amp;(TODAY()-60),Raw_Stripe!$C$6:$C$33,"&lt;"&amp;(TODAY()-30))</f>
        <v>0</v>
      </c>
      <c r="F23" s="51" t="n">
        <f aca="true">SUMIFS(Raw_Stripe!$L$6:$L$33,Raw_Stripe!$D$6:$D$33,B23,Raw_Stripe!$O$6:$O$33,"SG",Raw_Stripe!$C$6:$C$33,"&lt;"&amp;(TODAY()-60))</f>
        <v>0</v>
      </c>
      <c r="G23" s="52" t="s">
        <v>116</v>
      </c>
      <c r="H23" s="51" t="n">
        <f aca="false">C23*Settings_FX!E$27</f>
        <v>0</v>
      </c>
      <c r="I23" s="53" t="n">
        <f aca="false">IFERROR(C23/$C$27,0)</f>
        <v>0</v>
      </c>
      <c r="J23" s="54" t="str">
        <f aca="false">IFERROR(minifs(Raw_Stripe!$C$6:$C$33,Raw_Stripe!$D$6:$D$33,B23,Raw_Stripe!$L$6:$L$33,"&gt;0"),"")</f>
        <v/>
      </c>
      <c r="K23" s="52" t="str">
        <f aca="false">IF(F23&gt;0,"⚠ 60+ days",IF(E23&gt;0,"⚠ 31-60 days","✓ Current"))</f>
        <v>✓ Current</v>
      </c>
      <c r="L23" s="1"/>
      <c r="M23" s="1"/>
      <c r="N23" s="1"/>
    </row>
    <row r="24" customFormat="false" ht="19.5" hidden="false" customHeight="true" outlineLevel="0" collapsed="false">
      <c r="A24" s="1"/>
      <c r="B24" s="45" t="s">
        <v>120</v>
      </c>
      <c r="C24" s="46" t="n">
        <f aca="false">SUMIFS(Raw_Stripe!$L$6:$L$33,Raw_Stripe!$D$6:$D$33,B24,Raw_Stripe!$O$6:$O$33,"SG")</f>
        <v>0</v>
      </c>
      <c r="D24" s="46" t="n">
        <f aca="true">SUMIFS(Raw_Stripe!$L$6:$L$33,Raw_Stripe!$D$6:$D$33,B24,Raw_Stripe!$O$6:$O$33,"SG",Raw_Stripe!$C$6:$C$33,"&gt;="&amp;(TODAY()-30))</f>
        <v>0</v>
      </c>
      <c r="E24" s="46" t="n">
        <f aca="true">SUMIFS(Raw_Stripe!$L$6:$L$33,Raw_Stripe!$D$6:$D$33,B24,Raw_Stripe!$O$6:$O$33,"SG",Raw_Stripe!$C$6:$C$33,"&gt;="&amp;(TODAY()-60),Raw_Stripe!$C$6:$C$33,"&lt;"&amp;(TODAY()-30))</f>
        <v>0</v>
      </c>
      <c r="F24" s="46" t="n">
        <f aca="true">SUMIFS(Raw_Stripe!$L$6:$L$33,Raw_Stripe!$D$6:$D$33,B24,Raw_Stripe!$O$6:$O$33,"SG",Raw_Stripe!$C$6:$C$33,"&lt;"&amp;(TODAY()-60))</f>
        <v>0</v>
      </c>
      <c r="G24" s="47" t="s">
        <v>107</v>
      </c>
      <c r="H24" s="46" t="n">
        <f aca="false">C24</f>
        <v>0</v>
      </c>
      <c r="I24" s="48" t="n">
        <f aca="false">IFERROR(C24/$C$27,0)</f>
        <v>0</v>
      </c>
      <c r="J24" s="49" t="str">
        <f aca="false">IFERROR(minifs(Raw_Stripe!$C$6:$C$33,Raw_Stripe!$D$6:$D$33,B24,Raw_Stripe!$L$6:$L$33,"&gt;0"),"")</f>
        <v/>
      </c>
      <c r="K24" s="47" t="str">
        <f aca="false">IF(F24&gt;0,"⚠ 60+ days",IF(E24&gt;0,"⚠ 31-60 days","✓ Current"))</f>
        <v>✓ Current</v>
      </c>
      <c r="L24" s="1"/>
      <c r="M24" s="1"/>
      <c r="N24" s="1"/>
    </row>
    <row r="25" customFormat="false" ht="19.5" hidden="false" customHeight="true" outlineLevel="0" collapsed="false">
      <c r="A25" s="1"/>
      <c r="B25" s="50" t="s">
        <v>121</v>
      </c>
      <c r="C25" s="51" t="n">
        <f aca="false">SUMIFS(Raw_Stripe!$L$6:$L$33,Raw_Stripe!$D$6:$D$33,B25,Raw_Stripe!$O$6:$O$33,"SG")</f>
        <v>5092.9</v>
      </c>
      <c r="D25" s="51" t="n">
        <f aca="true">SUMIFS(Raw_Stripe!$L$6:$L$33,Raw_Stripe!$D$6:$D$33,B25,Raw_Stripe!$O$6:$O$33,"SG",Raw_Stripe!$C$6:$C$33,"&gt;="&amp;(TODAY()-30))</f>
        <v>0</v>
      </c>
      <c r="E25" s="51" t="n">
        <f aca="true">SUMIFS(Raw_Stripe!$L$6:$L$33,Raw_Stripe!$D$6:$D$33,B25,Raw_Stripe!$O$6:$O$33,"SG",Raw_Stripe!$C$6:$C$33,"&gt;="&amp;(TODAY()-60),Raw_Stripe!$C$6:$C$33,"&lt;"&amp;(TODAY()-30))</f>
        <v>0</v>
      </c>
      <c r="F25" s="51" t="n">
        <f aca="true">SUMIFS(Raw_Stripe!$L$6:$L$33,Raw_Stripe!$D$6:$D$33,B25,Raw_Stripe!$O$6:$O$33,"SG",Raw_Stripe!$C$6:$C$33,"&lt;"&amp;(TODAY()-60))</f>
        <v>5092.9</v>
      </c>
      <c r="G25" s="52" t="s">
        <v>116</v>
      </c>
      <c r="H25" s="51" t="n">
        <f aca="false">C25*Settings_FX!E$27</f>
        <v>3804.3963</v>
      </c>
      <c r="I25" s="53" t="n">
        <f aca="false">IFERROR(C25/$C$27,0)</f>
        <v>1</v>
      </c>
      <c r="J25" s="54" t="str">
        <f aca="false">IFERROR(minifs(Raw_Stripe!$C$6:$C$33,Raw_Stripe!$D$6:$D$33,B25,Raw_Stripe!$L$6:$L$33,"&gt;0"),"")</f>
        <v/>
      </c>
      <c r="K25" s="52" t="str">
        <f aca="false">IF(F25&gt;0,"⚠ 60+ days",IF(E25&gt;0,"⚠ 31-60 days","✓ Current"))</f>
        <v>⚠ 60+ days</v>
      </c>
      <c r="L25" s="1"/>
      <c r="M25" s="1"/>
      <c r="N25" s="1"/>
    </row>
    <row r="26" customFormat="false" ht="19.5" hidden="false" customHeight="true" outlineLevel="0" collapsed="false">
      <c r="A26" s="1"/>
      <c r="B26" s="45" t="s">
        <v>122</v>
      </c>
      <c r="C26" s="46" t="n">
        <f aca="false">SUMIFS(Raw_Stripe!$L$6:$L$33,Raw_Stripe!$D$6:$D$33,B26,Raw_Stripe!$O$6:$O$33,"SG")</f>
        <v>0</v>
      </c>
      <c r="D26" s="46" t="n">
        <f aca="true">SUMIFS(Raw_Stripe!$L$6:$L$33,Raw_Stripe!$D$6:$D$33,B26,Raw_Stripe!$O$6:$O$33,"SG",Raw_Stripe!$C$6:$C$33,"&gt;="&amp;(TODAY()-30))</f>
        <v>0</v>
      </c>
      <c r="E26" s="46" t="n">
        <f aca="true">SUMIFS(Raw_Stripe!$L$6:$L$33,Raw_Stripe!$D$6:$D$33,B26,Raw_Stripe!$O$6:$O$33,"SG",Raw_Stripe!$C$6:$C$33,"&gt;="&amp;(TODAY()-60),Raw_Stripe!$C$6:$C$33,"&lt;"&amp;(TODAY()-30))</f>
        <v>0</v>
      </c>
      <c r="F26" s="46" t="n">
        <f aca="true">SUMIFS(Raw_Stripe!$L$6:$L$33,Raw_Stripe!$D$6:$D$33,B26,Raw_Stripe!$O$6:$O$33,"SG",Raw_Stripe!$C$6:$C$33,"&lt;"&amp;(TODAY()-60))</f>
        <v>0</v>
      </c>
      <c r="G26" s="47" t="s">
        <v>107</v>
      </c>
      <c r="H26" s="46" t="n">
        <f aca="false">C26</f>
        <v>0</v>
      </c>
      <c r="I26" s="48" t="n">
        <f aca="false">IFERROR(C26/$C$27,0)</f>
        <v>0</v>
      </c>
      <c r="J26" s="49" t="str">
        <f aca="false">IFERROR(minifs(Raw_Stripe!$C$6:$C$33,Raw_Stripe!$D$6:$D$33,B26,Raw_Stripe!$L$6:$L$33,"&gt;0"),"")</f>
        <v/>
      </c>
      <c r="K26" s="47" t="str">
        <f aca="false">IF(F26&gt;0,"⚠ 60+ days",IF(E26&gt;0,"⚠ 31-60 days","✓ Current"))</f>
        <v>✓ Current</v>
      </c>
      <c r="L26" s="1"/>
      <c r="M26" s="1"/>
      <c r="N26" s="1"/>
    </row>
    <row r="27" customFormat="false" ht="24" hidden="false" customHeight="true" outlineLevel="0" collapsed="false">
      <c r="A27" s="1"/>
      <c r="B27" s="40" t="s">
        <v>123</v>
      </c>
      <c r="C27" s="55" t="n">
        <f aca="false">SUM(C20:C26)</f>
        <v>5092.9</v>
      </c>
      <c r="D27" s="55" t="n">
        <f aca="false">SUM(D20:D26)</f>
        <v>0</v>
      </c>
      <c r="E27" s="55" t="n">
        <f aca="false">SUM(E20:E26)</f>
        <v>0</v>
      </c>
      <c r="F27" s="55" t="n">
        <f aca="false">SUM(F20:F26)</f>
        <v>5092.9</v>
      </c>
      <c r="G27" s="56"/>
      <c r="H27" s="55" t="n">
        <f aca="false">SUM(H20:H26)</f>
        <v>3804.3963</v>
      </c>
      <c r="I27" s="56"/>
      <c r="J27" s="56"/>
      <c r="K27" s="56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25.5" hidden="false" customHeight="true" outlineLevel="0" collapsed="false">
      <c r="A29" s="1"/>
      <c r="B29" s="12" t="s">
        <v>124</v>
      </c>
      <c r="C29" s="12"/>
      <c r="D29" s="12"/>
      <c r="E29" s="12"/>
      <c r="F29" s="12"/>
      <c r="G29" s="12"/>
      <c r="H29" s="12"/>
      <c r="I29" s="12"/>
      <c r="J29" s="12"/>
      <c r="K29" s="12"/>
      <c r="L29" s="1"/>
      <c r="M29" s="1"/>
      <c r="N29" s="1"/>
    </row>
    <row r="30" customFormat="false" ht="21.75" hidden="false" customHeight="true" outlineLevel="0" collapsed="false">
      <c r="A30" s="1"/>
      <c r="B30" s="57" t="s">
        <v>125</v>
      </c>
      <c r="C30" s="58" t="n">
        <f aca="false">H15</f>
        <v>559.44035</v>
      </c>
      <c r="D30" s="58"/>
      <c r="E30" s="58"/>
      <c r="F30" s="59"/>
      <c r="G30" s="59"/>
      <c r="H30" s="59"/>
      <c r="I30" s="59"/>
      <c r="J30" s="59"/>
      <c r="K30" s="59"/>
      <c r="L30" s="1"/>
      <c r="M30" s="1"/>
      <c r="N30" s="1"/>
    </row>
    <row r="31" customFormat="false" ht="21.75" hidden="false" customHeight="true" outlineLevel="0" collapsed="false">
      <c r="A31" s="1"/>
      <c r="B31" s="57" t="s">
        <v>126</v>
      </c>
      <c r="C31" s="58" t="n">
        <f aca="false">H27</f>
        <v>3804.3963</v>
      </c>
      <c r="D31" s="58"/>
      <c r="E31" s="58"/>
      <c r="F31" s="59"/>
      <c r="G31" s="59"/>
      <c r="H31" s="59"/>
      <c r="I31" s="59"/>
      <c r="J31" s="59"/>
      <c r="K31" s="59"/>
      <c r="L31" s="1"/>
      <c r="M31" s="1"/>
      <c r="N31" s="1"/>
    </row>
    <row r="32" customFormat="false" ht="21.75" hidden="false" customHeight="true" outlineLevel="0" collapsed="false">
      <c r="A32" s="1"/>
      <c r="B32" s="57" t="s">
        <v>127</v>
      </c>
      <c r="C32" s="58" t="n">
        <f aca="false">H15+H27</f>
        <v>4363.83665</v>
      </c>
      <c r="D32" s="58"/>
      <c r="E32" s="58"/>
      <c r="F32" s="59"/>
      <c r="G32" s="59"/>
      <c r="H32" s="59"/>
      <c r="I32" s="59"/>
      <c r="J32" s="59"/>
      <c r="K32" s="59"/>
      <c r="L32" s="1"/>
      <c r="M32" s="1"/>
      <c r="N32" s="1"/>
    </row>
    <row r="33" customFormat="false" ht="21.75" hidden="false" customHeight="true" outlineLevel="0" collapsed="false">
      <c r="A33" s="1"/>
      <c r="B33" s="57" t="s">
        <v>128</v>
      </c>
      <c r="C33" s="60" t="n">
        <f aca="false">COUNTIF(K6:K14,"*60+*")+COUNTIF(K19:K26,"*60+*")</f>
        <v>2</v>
      </c>
      <c r="D33" s="60"/>
      <c r="E33" s="60"/>
      <c r="F33" s="59"/>
      <c r="G33" s="59"/>
      <c r="H33" s="59"/>
      <c r="I33" s="59"/>
      <c r="J33" s="59"/>
      <c r="K33" s="59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</sheetData>
  <mergeCells count="9">
    <mergeCell ref="B2:K2"/>
    <mergeCell ref="B3:K3"/>
    <mergeCell ref="B5:K5"/>
    <mergeCell ref="B18:K18"/>
    <mergeCell ref="B29:K29"/>
    <mergeCell ref="C30:E30"/>
    <mergeCell ref="C31:E31"/>
    <mergeCell ref="C32:E32"/>
    <mergeCell ref="C33:E33"/>
  </mergeCells>
  <conditionalFormatting sqref="F7:F14">
    <cfRule type="cellIs" priority="2" operator="greaterThan" aboveAverage="0" equalAverage="0" bottom="0" percent="0" rank="0" text="" dxfId="1">
      <formula>0</formula>
    </cfRule>
  </conditionalFormatting>
  <conditionalFormatting sqref="E7:E14">
    <cfRule type="cellIs" priority="3" operator="greaterThan" aboveAverage="0" equalAverage="0" bottom="0" percent="0" rank="0" text="" dxfId="2">
      <formula>0</formula>
    </cfRule>
  </conditionalFormatting>
  <conditionalFormatting sqref="F20:F26">
    <cfRule type="cellIs" priority="4" operator="greaterThan" aboveAverage="0" equalAverage="0" bottom="0" percent="0" rank="0" text="" dxfId="1">
      <formula>0</formula>
    </cfRule>
  </conditionalFormatting>
  <conditionalFormatting sqref="E20:E26">
    <cfRule type="cellIs" priority="5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O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7" min="3" style="0" width="14"/>
    <col collapsed="false" customWidth="true" hidden="false" outlineLevel="0" max="14" min="8" style="0" width="12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129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8" hidden="false" customHeight="true" outlineLevel="0" collapsed="false">
      <c r="A3" s="1"/>
      <c r="B3" s="3" t="s">
        <v>130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5.5" hidden="false" customHeight="true" outlineLevel="0" collapsed="false">
      <c r="A5" s="1"/>
      <c r="B5" s="10" t="s">
        <v>131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customFormat="false" ht="31.5" hidden="false" customHeight="true" outlineLevel="0" collapsed="false">
      <c r="A6" s="1"/>
      <c r="B6" s="23" t="s">
        <v>93</v>
      </c>
      <c r="C6" s="23" t="s">
        <v>132</v>
      </c>
      <c r="D6" s="23" t="s">
        <v>133</v>
      </c>
      <c r="E6" s="23" t="s">
        <v>134</v>
      </c>
      <c r="F6" s="23" t="s">
        <v>135</v>
      </c>
      <c r="G6" s="23" t="s">
        <v>136</v>
      </c>
      <c r="H6" s="23" t="s">
        <v>137</v>
      </c>
      <c r="I6" s="23" t="s">
        <v>138</v>
      </c>
      <c r="J6" s="23" t="s">
        <v>139</v>
      </c>
      <c r="K6" s="23" t="s">
        <v>140</v>
      </c>
      <c r="L6" s="23" t="s">
        <v>141</v>
      </c>
      <c r="M6" s="23" t="s">
        <v>142</v>
      </c>
      <c r="N6" s="23" t="s">
        <v>143</v>
      </c>
      <c r="O6" s="23" t="s">
        <v>144</v>
      </c>
    </row>
    <row r="7" customFormat="false" ht="19.5" hidden="false" customHeight="true" outlineLevel="0" collapsed="false">
      <c r="A7" s="1"/>
      <c r="B7" s="45" t="s">
        <v>103</v>
      </c>
      <c r="C7" s="46" t="n">
        <f aca="false">SUMIFS(Raw_Meta!$L$6:$L$28,Raw_Meta!$E$6:$E$28,B7)</f>
        <v>35700</v>
      </c>
      <c r="D7" s="46" t="n">
        <f aca="false">IFERROR(SUMIFS(Raw_Meta!$L$6:$L$28,Raw_Meta!$E$6:$E$28,B7)*SUMIFS(Raw_Meta!$H$6:$H$28,Raw_Meta!$E$6:$E$28,B7)/SUMIFS(Raw_Meta!$G$6:$G$28,Raw_Meta!$E$6:$E$28,B7),0)</f>
        <v>3500</v>
      </c>
      <c r="E7" s="46" t="n">
        <f aca="false">C7-D7</f>
        <v>32200</v>
      </c>
      <c r="F7" s="61" t="n">
        <f aca="false">C7</f>
        <v>35700</v>
      </c>
      <c r="G7" s="62" t="n">
        <f aca="false">IFERROR(D7/C7,0)</f>
        <v>0.0980392156862745</v>
      </c>
      <c r="H7" s="63" t="n">
        <f aca="false">COUNTIFS(Raw_Meta!$E$6:$E$28,B7)</f>
        <v>6</v>
      </c>
      <c r="I7" s="37" t="n">
        <f aca="false">SUMIFS(Raw_Meta!$L$6:$L$28,Raw_Meta!$E$6:$E$28,B7,Raw_Meta!$N$6:$N$28,"Jan-25")</f>
        <v>5200</v>
      </c>
      <c r="J7" s="37" t="n">
        <f aca="false">SUMIFS(Raw_Meta!$L$6:$L$28,Raw_Meta!$E$6:$E$28,B7,Raw_Meta!$N$6:$N$28,"Feb-25")</f>
        <v>5500</v>
      </c>
      <c r="K7" s="37" t="n">
        <f aca="false">SUMIFS(Raw_Meta!$L$6:$L$28,Raw_Meta!$E$6:$E$28,B7,Raw_Meta!$N$6:$N$28,"Mar-25")</f>
        <v>5800</v>
      </c>
      <c r="L7" s="37" t="n">
        <f aca="false">SUMIFS(Raw_Meta!$L$6:$L$28,Raw_Meta!$E$6:$E$28,B7,Raw_Meta!$N$6:$N$28,"Apr-25")</f>
        <v>6100</v>
      </c>
      <c r="M7" s="37" t="n">
        <f aca="false">SUMIFS(Raw_Meta!$L$6:$L$28,Raw_Meta!$E$6:$E$28,B7,Raw_Meta!$N$6:$N$28,"May-25")</f>
        <v>6300</v>
      </c>
      <c r="N7" s="37" t="n">
        <f aca="false">SUMIFS(Raw_Meta!$L$6:$L$28,Raw_Meta!$E$6:$E$28,B7,Raw_Meta!$N$6:$N$28,"Jun-25")</f>
        <v>0</v>
      </c>
      <c r="O7" s="37" t="n">
        <f aca="false">SUMIFS(Raw_Meta!$L$6:$L$28,Raw_Meta!$E$6:$E$28,B7,Raw_Meta!$N$6:$N$28,"Jul-25")+SUMIFS(Raw_Meta!$L$6:$L$28,Raw_Meta!$E$6:$E$28,B7,Raw_Meta!$N$6:$N$28,"Aug-25")+SUMIFS(Raw_Meta!$L$6:$L$28,Raw_Meta!$E$6:$E$28,B7,Raw_Meta!$N$6:$N$28,"Sep-25")+SUMIFS(Raw_Meta!$L$6:$L$28,Raw_Meta!$E$6:$E$28,B7,Raw_Meta!$N$6:$N$28,"Oct-25")+SUMIFS(Raw_Meta!$L$6:$L$28,Raw_Meta!$E$6:$E$28,B7,Raw_Meta!$N$6:$N$28,"Nov-25")+SUMIFS(Raw_Meta!$L$6:$L$28,Raw_Meta!$E$6:$E$28,B7,Raw_Meta!$N$6:$N$28,"Dec-25")</f>
        <v>6800</v>
      </c>
    </row>
    <row r="8" customFormat="false" ht="19.5" hidden="false" customHeight="true" outlineLevel="0" collapsed="false">
      <c r="A8" s="1"/>
      <c r="B8" s="50" t="s">
        <v>105</v>
      </c>
      <c r="C8" s="51" t="n">
        <f aca="false">SUMIFS(Raw_Meta!$L$6:$L$28,Raw_Meta!$E$6:$E$28,B8)</f>
        <v>7800</v>
      </c>
      <c r="D8" s="51" t="n">
        <f aca="false">IFERROR(SUMIFS(Raw_Meta!$L$6:$L$28,Raw_Meta!$E$6:$E$28,B8)*SUMIFS(Raw_Meta!$H$6:$H$28,Raw_Meta!$E$6:$E$28,B8)/SUMIFS(Raw_Meta!$G$6:$G$28,Raw_Meta!$E$6:$E$28,B8),0)</f>
        <v>600</v>
      </c>
      <c r="E8" s="51" t="n">
        <f aca="false">C8-D8</f>
        <v>7200</v>
      </c>
      <c r="F8" s="61" t="n">
        <f aca="false">C8</f>
        <v>7800</v>
      </c>
      <c r="G8" s="64" t="n">
        <f aca="false">IFERROR(D8/C8,0)</f>
        <v>0.0769230769230769</v>
      </c>
      <c r="H8" s="65" t="n">
        <f aca="false">COUNTIFS(Raw_Meta!$E$6:$E$28,B8)</f>
        <v>2</v>
      </c>
      <c r="I8" s="39" t="n">
        <f aca="false">SUMIFS(Raw_Meta!$L$6:$L$28,Raw_Meta!$E$6:$E$28,B8,Raw_Meta!$N$6:$N$28,"Jan-25")</f>
        <v>3800</v>
      </c>
      <c r="J8" s="39" t="n">
        <f aca="false">SUMIFS(Raw_Meta!$L$6:$L$28,Raw_Meta!$E$6:$E$28,B8,Raw_Meta!$N$6:$N$28,"Feb-25")</f>
        <v>4000</v>
      </c>
      <c r="K8" s="39" t="n">
        <f aca="false">SUMIFS(Raw_Meta!$L$6:$L$28,Raw_Meta!$E$6:$E$28,B8,Raw_Meta!$N$6:$N$28,"Mar-25")</f>
        <v>0</v>
      </c>
      <c r="L8" s="39" t="n">
        <f aca="false">SUMIFS(Raw_Meta!$L$6:$L$28,Raw_Meta!$E$6:$E$28,B8,Raw_Meta!$N$6:$N$28,"Apr-25")</f>
        <v>0</v>
      </c>
      <c r="M8" s="39" t="n">
        <f aca="false">SUMIFS(Raw_Meta!$L$6:$L$28,Raw_Meta!$E$6:$E$28,B8,Raw_Meta!$N$6:$N$28,"May-25")</f>
        <v>0</v>
      </c>
      <c r="N8" s="39" t="n">
        <f aca="false">SUMIFS(Raw_Meta!$L$6:$L$28,Raw_Meta!$E$6:$E$28,B8,Raw_Meta!$N$6:$N$28,"Jun-25")</f>
        <v>0</v>
      </c>
      <c r="O8" s="39" t="n">
        <f aca="false">SUMIFS(Raw_Meta!$L$6:$L$28,Raw_Meta!$E$6:$E$28,B8,Raw_Meta!$N$6:$N$28,"Jul-25")+SUMIFS(Raw_Meta!$L$6:$L$28,Raw_Meta!$E$6:$E$28,B8,Raw_Meta!$N$6:$N$28,"Aug-25")+SUMIFS(Raw_Meta!$L$6:$L$28,Raw_Meta!$E$6:$E$28,B8,Raw_Meta!$N$6:$N$28,"Sep-25")+SUMIFS(Raw_Meta!$L$6:$L$28,Raw_Meta!$E$6:$E$28,B8,Raw_Meta!$N$6:$N$28,"Oct-25")+SUMIFS(Raw_Meta!$L$6:$L$28,Raw_Meta!$E$6:$E$28,B8,Raw_Meta!$N$6:$N$28,"Nov-25")+SUMIFS(Raw_Meta!$L$6:$L$28,Raw_Meta!$E$6:$E$28,B8,Raw_Meta!$N$6:$N$28,"Dec-25")</f>
        <v>0</v>
      </c>
    </row>
    <row r="9" customFormat="false" ht="19.5" hidden="false" customHeight="true" outlineLevel="0" collapsed="false">
      <c r="A9" s="1"/>
      <c r="B9" s="45" t="s">
        <v>106</v>
      </c>
      <c r="C9" s="46" t="n">
        <f aca="false">SUMIFS(Raw_Meta!$L$6:$L$28,Raw_Meta!$E$6:$E$28,B9)</f>
        <v>20400</v>
      </c>
      <c r="D9" s="46" t="n">
        <f aca="false">IFERROR(SUMIFS(Raw_Meta!$L$6:$L$28,Raw_Meta!$E$6:$E$28,B9)*SUMIFS(Raw_Meta!$H$6:$H$28,Raw_Meta!$E$6:$E$28,B9)/SUMIFS(Raw_Meta!$G$6:$G$28,Raw_Meta!$E$6:$E$28,B9),0)</f>
        <v>1650</v>
      </c>
      <c r="E9" s="46" t="n">
        <f aca="false">C9-D9</f>
        <v>18750</v>
      </c>
      <c r="F9" s="61" t="n">
        <f aca="false">C9</f>
        <v>20400</v>
      </c>
      <c r="G9" s="62" t="n">
        <f aca="false">IFERROR(D9/C9,0)</f>
        <v>0.0808823529411765</v>
      </c>
      <c r="H9" s="63" t="n">
        <f aca="false">COUNTIFS(Raw_Meta!$E$6:$E$28,B9)</f>
        <v>3</v>
      </c>
      <c r="I9" s="37" t="n">
        <f aca="false">SUMIFS(Raw_Meta!$L$6:$L$28,Raw_Meta!$E$6:$E$28,B9,Raw_Meta!$N$6:$N$28,"Jan-25")</f>
        <v>6500</v>
      </c>
      <c r="J9" s="37" t="n">
        <f aca="false">SUMIFS(Raw_Meta!$L$6:$L$28,Raw_Meta!$E$6:$E$28,B9,Raw_Meta!$N$6:$N$28,"Feb-25")</f>
        <v>6800</v>
      </c>
      <c r="K9" s="37" t="n">
        <f aca="false">SUMIFS(Raw_Meta!$L$6:$L$28,Raw_Meta!$E$6:$E$28,B9,Raw_Meta!$N$6:$N$28,"Mar-25")</f>
        <v>0</v>
      </c>
      <c r="L9" s="37" t="n">
        <f aca="false">SUMIFS(Raw_Meta!$L$6:$L$28,Raw_Meta!$E$6:$E$28,B9,Raw_Meta!$N$6:$N$28,"Apr-25")</f>
        <v>0</v>
      </c>
      <c r="M9" s="37" t="n">
        <f aca="false">SUMIFS(Raw_Meta!$L$6:$L$28,Raw_Meta!$E$6:$E$28,B9,Raw_Meta!$N$6:$N$28,"May-25")</f>
        <v>7100</v>
      </c>
      <c r="N9" s="37" t="n">
        <f aca="false">SUMIFS(Raw_Meta!$L$6:$L$28,Raw_Meta!$E$6:$E$28,B9,Raw_Meta!$N$6:$N$28,"Jun-25")</f>
        <v>0</v>
      </c>
      <c r="O9" s="37" t="n">
        <f aca="false">SUMIFS(Raw_Meta!$L$6:$L$28,Raw_Meta!$E$6:$E$28,B9,Raw_Meta!$N$6:$N$28,"Jul-25")+SUMIFS(Raw_Meta!$L$6:$L$28,Raw_Meta!$E$6:$E$28,B9,Raw_Meta!$N$6:$N$28,"Aug-25")+SUMIFS(Raw_Meta!$L$6:$L$28,Raw_Meta!$E$6:$E$28,B9,Raw_Meta!$N$6:$N$28,"Sep-25")+SUMIFS(Raw_Meta!$L$6:$L$28,Raw_Meta!$E$6:$E$28,B9,Raw_Meta!$N$6:$N$28,"Oct-25")+SUMIFS(Raw_Meta!$L$6:$L$28,Raw_Meta!$E$6:$E$28,B9,Raw_Meta!$N$6:$N$28,"Nov-25")+SUMIFS(Raw_Meta!$L$6:$L$28,Raw_Meta!$E$6:$E$28,B9,Raw_Meta!$N$6:$N$28,"Dec-25")</f>
        <v>0</v>
      </c>
    </row>
    <row r="10" customFormat="false" ht="19.5" hidden="false" customHeight="true" outlineLevel="0" collapsed="false">
      <c r="A10" s="1"/>
      <c r="B10" s="50" t="s">
        <v>115</v>
      </c>
      <c r="C10" s="51" t="n">
        <f aca="false">SUMIFS(Raw_Meta!$L$6:$L$28,Raw_Meta!$E$6:$E$28,B10)</f>
        <v>8700</v>
      </c>
      <c r="D10" s="51" t="n">
        <f aca="false">IFERROR(SUMIFS(Raw_Meta!$L$6:$L$28,Raw_Meta!$E$6:$E$28,B10)*SUMIFS(Raw_Meta!$H$6:$H$28,Raw_Meta!$E$6:$E$28,B10)/SUMIFS(Raw_Meta!$G$6:$G$28,Raw_Meta!$E$6:$E$28,B10),0)</f>
        <v>750</v>
      </c>
      <c r="E10" s="51" t="n">
        <f aca="false">C10-D10</f>
        <v>7950</v>
      </c>
      <c r="F10" s="61" t="n">
        <f aca="false">C10</f>
        <v>8700</v>
      </c>
      <c r="G10" s="64" t="n">
        <f aca="false">IFERROR(D10/C10,0)</f>
        <v>0.0862068965517241</v>
      </c>
      <c r="H10" s="65" t="n">
        <f aca="false">COUNTIFS(Raw_Meta!$E$6:$E$28,B10)</f>
        <v>2</v>
      </c>
      <c r="I10" s="39" t="n">
        <f aca="false">SUMIFS(Raw_Meta!$L$6:$L$28,Raw_Meta!$E$6:$E$28,B10,Raw_Meta!$N$6:$N$28,"Jan-25")</f>
        <v>4200</v>
      </c>
      <c r="J10" s="39" t="n">
        <f aca="false">SUMIFS(Raw_Meta!$L$6:$L$28,Raw_Meta!$E$6:$E$28,B10,Raw_Meta!$N$6:$N$28,"Feb-25")</f>
        <v>0</v>
      </c>
      <c r="K10" s="39" t="n">
        <f aca="false">SUMIFS(Raw_Meta!$L$6:$L$28,Raw_Meta!$E$6:$E$28,B10,Raw_Meta!$N$6:$N$28,"Mar-25")</f>
        <v>0</v>
      </c>
      <c r="L10" s="39" t="n">
        <f aca="false">SUMIFS(Raw_Meta!$L$6:$L$28,Raw_Meta!$E$6:$E$28,B10,Raw_Meta!$N$6:$N$28,"Apr-25")</f>
        <v>0</v>
      </c>
      <c r="M10" s="39" t="n">
        <f aca="false">SUMIFS(Raw_Meta!$L$6:$L$28,Raw_Meta!$E$6:$E$28,B10,Raw_Meta!$N$6:$N$28,"May-25")</f>
        <v>0</v>
      </c>
      <c r="N10" s="39" t="n">
        <f aca="false">SUMIFS(Raw_Meta!$L$6:$L$28,Raw_Meta!$E$6:$E$28,B10,Raw_Meta!$N$6:$N$28,"Jun-25")</f>
        <v>0</v>
      </c>
      <c r="O10" s="39" t="n">
        <f aca="false">SUMIFS(Raw_Meta!$L$6:$L$28,Raw_Meta!$E$6:$E$28,B10,Raw_Meta!$N$6:$N$28,"Jul-25")+SUMIFS(Raw_Meta!$L$6:$L$28,Raw_Meta!$E$6:$E$28,B10,Raw_Meta!$N$6:$N$28,"Aug-25")+SUMIFS(Raw_Meta!$L$6:$L$28,Raw_Meta!$E$6:$E$28,B10,Raw_Meta!$N$6:$N$28,"Sep-25")+SUMIFS(Raw_Meta!$L$6:$L$28,Raw_Meta!$E$6:$E$28,B10,Raw_Meta!$N$6:$N$28,"Oct-25")+SUMIFS(Raw_Meta!$L$6:$L$28,Raw_Meta!$E$6:$E$28,B10,Raw_Meta!$N$6:$N$28,"Nov-25")+SUMIFS(Raw_Meta!$L$6:$L$28,Raw_Meta!$E$6:$E$28,B10,Raw_Meta!$N$6:$N$28,"Dec-25")</f>
        <v>4500</v>
      </c>
    </row>
    <row r="11" customFormat="false" ht="19.5" hidden="false" customHeight="true" outlineLevel="0" collapsed="false">
      <c r="A11" s="1"/>
      <c r="B11" s="45" t="s">
        <v>109</v>
      </c>
      <c r="C11" s="46" t="n">
        <f aca="false">SUMIFS(Raw_Meta!$L$6:$L$28,Raw_Meta!$E$6:$E$28,B11)</f>
        <v>4500</v>
      </c>
      <c r="D11" s="46" t="n">
        <f aca="false">IFERROR(SUMIFS(Raw_Meta!$L$6:$L$28,Raw_Meta!$E$6:$E$28,B11)*SUMIFS(Raw_Meta!$H$6:$H$28,Raw_Meta!$E$6:$E$28,B11)/SUMIFS(Raw_Meta!$G$6:$G$28,Raw_Meta!$E$6:$E$28,B11),0)</f>
        <v>400</v>
      </c>
      <c r="E11" s="46" t="n">
        <f aca="false">C11-D11</f>
        <v>4100</v>
      </c>
      <c r="F11" s="61" t="n">
        <f aca="false">C11</f>
        <v>4500</v>
      </c>
      <c r="G11" s="62" t="n">
        <f aca="false">IFERROR(D11/C11,0)</f>
        <v>0.0888888888888889</v>
      </c>
      <c r="H11" s="63" t="n">
        <f aca="false">COUNTIFS(Raw_Meta!$E$6:$E$28,B11)</f>
        <v>1</v>
      </c>
      <c r="I11" s="37" t="n">
        <f aca="false">SUMIFS(Raw_Meta!$L$6:$L$28,Raw_Meta!$E$6:$E$28,B11,Raw_Meta!$N$6:$N$28,"Jan-25")</f>
        <v>0</v>
      </c>
      <c r="J11" s="37" t="n">
        <f aca="false">SUMIFS(Raw_Meta!$L$6:$L$28,Raw_Meta!$E$6:$E$28,B11,Raw_Meta!$N$6:$N$28,"Feb-25")</f>
        <v>0</v>
      </c>
      <c r="K11" s="37" t="n">
        <f aca="false">SUMIFS(Raw_Meta!$L$6:$L$28,Raw_Meta!$E$6:$E$28,B11,Raw_Meta!$N$6:$N$28,"Mar-25")</f>
        <v>4500</v>
      </c>
      <c r="L11" s="37" t="n">
        <f aca="false">SUMIFS(Raw_Meta!$L$6:$L$28,Raw_Meta!$E$6:$E$28,B11,Raw_Meta!$N$6:$N$28,"Apr-25")</f>
        <v>0</v>
      </c>
      <c r="M11" s="37" t="n">
        <f aca="false">SUMIFS(Raw_Meta!$L$6:$L$28,Raw_Meta!$E$6:$E$28,B11,Raw_Meta!$N$6:$N$28,"May-25")</f>
        <v>0</v>
      </c>
      <c r="N11" s="37" t="n">
        <f aca="false">SUMIFS(Raw_Meta!$L$6:$L$28,Raw_Meta!$E$6:$E$28,B11,Raw_Meta!$N$6:$N$28,"Jun-25")</f>
        <v>0</v>
      </c>
      <c r="O11" s="37" t="n">
        <f aca="false">SUMIFS(Raw_Meta!$L$6:$L$28,Raw_Meta!$E$6:$E$28,B11,Raw_Meta!$N$6:$N$28,"Jul-25")+SUMIFS(Raw_Meta!$L$6:$L$28,Raw_Meta!$E$6:$E$28,B11,Raw_Meta!$N$6:$N$28,"Aug-25")+SUMIFS(Raw_Meta!$L$6:$L$28,Raw_Meta!$E$6:$E$28,B11,Raw_Meta!$N$6:$N$28,"Sep-25")+SUMIFS(Raw_Meta!$L$6:$L$28,Raw_Meta!$E$6:$E$28,B11,Raw_Meta!$N$6:$N$28,"Oct-25")+SUMIFS(Raw_Meta!$L$6:$L$28,Raw_Meta!$E$6:$E$28,B11,Raw_Meta!$N$6:$N$28,"Nov-25")+SUMIFS(Raw_Meta!$L$6:$L$28,Raw_Meta!$E$6:$E$28,B11,Raw_Meta!$N$6:$N$28,"Dec-25")</f>
        <v>0</v>
      </c>
    </row>
    <row r="12" customFormat="false" ht="19.5" hidden="false" customHeight="true" outlineLevel="0" collapsed="false">
      <c r="A12" s="1"/>
      <c r="B12" s="50" t="s">
        <v>110</v>
      </c>
      <c r="C12" s="51" t="n">
        <f aca="false">SUMIFS(Raw_Meta!$L$6:$L$28,Raw_Meta!$E$6:$E$28,B12)</f>
        <v>7200</v>
      </c>
      <c r="D12" s="51" t="n">
        <f aca="false">IFERROR(SUMIFS(Raw_Meta!$L$6:$L$28,Raw_Meta!$E$6:$E$28,B12)*SUMIFS(Raw_Meta!$H$6:$H$28,Raw_Meta!$E$6:$E$28,B12)/SUMIFS(Raw_Meta!$G$6:$G$28,Raw_Meta!$E$6:$E$28,B12),0)</f>
        <v>600</v>
      </c>
      <c r="E12" s="51" t="n">
        <f aca="false">C12-D12</f>
        <v>6600</v>
      </c>
      <c r="F12" s="61" t="n">
        <f aca="false">C12</f>
        <v>7200</v>
      </c>
      <c r="G12" s="64" t="n">
        <f aca="false">IFERROR(D12/C12,0)</f>
        <v>0.0833333333333333</v>
      </c>
      <c r="H12" s="65" t="n">
        <f aca="false">COUNTIFS(Raw_Meta!$E$6:$E$28,B12)</f>
        <v>1</v>
      </c>
      <c r="I12" s="39" t="n">
        <f aca="false">SUMIFS(Raw_Meta!$L$6:$L$28,Raw_Meta!$E$6:$E$28,B12,Raw_Meta!$N$6:$N$28,"Jan-25")</f>
        <v>0</v>
      </c>
      <c r="J12" s="39" t="n">
        <f aca="false">SUMIFS(Raw_Meta!$L$6:$L$28,Raw_Meta!$E$6:$E$28,B12,Raw_Meta!$N$6:$N$28,"Feb-25")</f>
        <v>0</v>
      </c>
      <c r="K12" s="39" t="n">
        <f aca="false">SUMIFS(Raw_Meta!$L$6:$L$28,Raw_Meta!$E$6:$E$28,B12,Raw_Meta!$N$6:$N$28,"Mar-25")</f>
        <v>7200</v>
      </c>
      <c r="L12" s="39" t="n">
        <f aca="false">SUMIFS(Raw_Meta!$L$6:$L$28,Raw_Meta!$E$6:$E$28,B12,Raw_Meta!$N$6:$N$28,"Apr-25")</f>
        <v>0</v>
      </c>
      <c r="M12" s="39" t="n">
        <f aca="false">SUMIFS(Raw_Meta!$L$6:$L$28,Raw_Meta!$E$6:$E$28,B12,Raw_Meta!$N$6:$N$28,"May-25")</f>
        <v>0</v>
      </c>
      <c r="N12" s="39" t="n">
        <f aca="false">SUMIFS(Raw_Meta!$L$6:$L$28,Raw_Meta!$E$6:$E$28,B12,Raw_Meta!$N$6:$N$28,"Jun-25")</f>
        <v>0</v>
      </c>
      <c r="O12" s="39" t="n">
        <f aca="false">SUMIFS(Raw_Meta!$L$6:$L$28,Raw_Meta!$E$6:$E$28,B12,Raw_Meta!$N$6:$N$28,"Jul-25")+SUMIFS(Raw_Meta!$L$6:$L$28,Raw_Meta!$E$6:$E$28,B12,Raw_Meta!$N$6:$N$28,"Aug-25")+SUMIFS(Raw_Meta!$L$6:$L$28,Raw_Meta!$E$6:$E$28,B12,Raw_Meta!$N$6:$N$28,"Sep-25")+SUMIFS(Raw_Meta!$L$6:$L$28,Raw_Meta!$E$6:$E$28,B12,Raw_Meta!$N$6:$N$28,"Oct-25")+SUMIFS(Raw_Meta!$L$6:$L$28,Raw_Meta!$E$6:$E$28,B12,Raw_Meta!$N$6:$N$28,"Nov-25")+SUMIFS(Raw_Meta!$L$6:$L$28,Raw_Meta!$E$6:$E$28,B12,Raw_Meta!$N$6:$N$28,"Dec-25")</f>
        <v>0</v>
      </c>
    </row>
    <row r="13" customFormat="false" ht="19.5" hidden="false" customHeight="true" outlineLevel="0" collapsed="false">
      <c r="A13" s="1"/>
      <c r="B13" s="45" t="s">
        <v>117</v>
      </c>
      <c r="C13" s="46" t="n">
        <f aca="false">SUMIFS(Raw_Meta!$L$6:$L$28,Raw_Meta!$E$6:$E$28,B13)</f>
        <v>8500</v>
      </c>
      <c r="D13" s="46" t="n">
        <f aca="false">IFERROR(SUMIFS(Raw_Meta!$L$6:$L$28,Raw_Meta!$E$6:$E$28,B13)*SUMIFS(Raw_Meta!$H$6:$H$28,Raw_Meta!$E$6:$E$28,B13)/SUMIFS(Raw_Meta!$G$6:$G$28,Raw_Meta!$E$6:$E$28,B13),0)</f>
        <v>700</v>
      </c>
      <c r="E13" s="46" t="n">
        <f aca="false">C13-D13</f>
        <v>7800</v>
      </c>
      <c r="F13" s="61" t="n">
        <f aca="false">C13</f>
        <v>8500</v>
      </c>
      <c r="G13" s="62" t="n">
        <f aca="false">IFERROR(D13/C13,0)</f>
        <v>0.0823529411764706</v>
      </c>
      <c r="H13" s="63" t="n">
        <f aca="false">COUNTIFS(Raw_Meta!$E$6:$E$28,B13)</f>
        <v>1</v>
      </c>
      <c r="I13" s="37" t="n">
        <f aca="false">SUMIFS(Raw_Meta!$L$6:$L$28,Raw_Meta!$E$6:$E$28,B13,Raw_Meta!$N$6:$N$28,"Jan-25")</f>
        <v>0</v>
      </c>
      <c r="J13" s="37" t="n">
        <f aca="false">SUMIFS(Raw_Meta!$L$6:$L$28,Raw_Meta!$E$6:$E$28,B13,Raw_Meta!$N$6:$N$28,"Feb-25")</f>
        <v>0</v>
      </c>
      <c r="K13" s="37" t="n">
        <f aca="false">SUMIFS(Raw_Meta!$L$6:$L$28,Raw_Meta!$E$6:$E$28,B13,Raw_Meta!$N$6:$N$28,"Mar-25")</f>
        <v>8500</v>
      </c>
      <c r="L13" s="37" t="n">
        <f aca="false">SUMIFS(Raw_Meta!$L$6:$L$28,Raw_Meta!$E$6:$E$28,B13,Raw_Meta!$N$6:$N$28,"Apr-25")</f>
        <v>0</v>
      </c>
      <c r="M13" s="37" t="n">
        <f aca="false">SUMIFS(Raw_Meta!$L$6:$L$28,Raw_Meta!$E$6:$E$28,B13,Raw_Meta!$N$6:$N$28,"May-25")</f>
        <v>0</v>
      </c>
      <c r="N13" s="37" t="n">
        <f aca="false">SUMIFS(Raw_Meta!$L$6:$L$28,Raw_Meta!$E$6:$E$28,B13,Raw_Meta!$N$6:$N$28,"Jun-25")</f>
        <v>0</v>
      </c>
      <c r="O13" s="37" t="n">
        <f aca="false">SUMIFS(Raw_Meta!$L$6:$L$28,Raw_Meta!$E$6:$E$28,B13,Raw_Meta!$N$6:$N$28,"Jul-25")+SUMIFS(Raw_Meta!$L$6:$L$28,Raw_Meta!$E$6:$E$28,B13,Raw_Meta!$N$6:$N$28,"Aug-25")+SUMIFS(Raw_Meta!$L$6:$L$28,Raw_Meta!$E$6:$E$28,B13,Raw_Meta!$N$6:$N$28,"Sep-25")+SUMIFS(Raw_Meta!$L$6:$L$28,Raw_Meta!$E$6:$E$28,B13,Raw_Meta!$N$6:$N$28,"Oct-25")+SUMIFS(Raw_Meta!$L$6:$L$28,Raw_Meta!$E$6:$E$28,B13,Raw_Meta!$N$6:$N$28,"Nov-25")+SUMIFS(Raw_Meta!$L$6:$L$28,Raw_Meta!$E$6:$E$28,B13,Raw_Meta!$N$6:$N$28,"Dec-25")</f>
        <v>0</v>
      </c>
    </row>
    <row r="14" customFormat="false" ht="19.5" hidden="false" customHeight="true" outlineLevel="0" collapsed="false">
      <c r="A14" s="1"/>
      <c r="B14" s="50" t="s">
        <v>119</v>
      </c>
      <c r="C14" s="51" t="n">
        <f aca="false">SUMIFS(Raw_Meta!$L$6:$L$28,Raw_Meta!$E$6:$E$28,B14)</f>
        <v>4300</v>
      </c>
      <c r="D14" s="51" t="n">
        <f aca="false">IFERROR(SUMIFS(Raw_Meta!$L$6:$L$28,Raw_Meta!$E$6:$E$28,B14)*SUMIFS(Raw_Meta!$H$6:$H$28,Raw_Meta!$E$6:$E$28,B14)/SUMIFS(Raw_Meta!$G$6:$G$28,Raw_Meta!$E$6:$E$28,B14),0)</f>
        <v>350</v>
      </c>
      <c r="E14" s="51" t="n">
        <f aca="false">C14-D14</f>
        <v>3950</v>
      </c>
      <c r="F14" s="61" t="n">
        <f aca="false">C14</f>
        <v>4300</v>
      </c>
      <c r="G14" s="64" t="n">
        <f aca="false">IFERROR(D14/C14,0)</f>
        <v>0.0813953488372093</v>
      </c>
      <c r="H14" s="65" t="n">
        <f aca="false">COUNTIFS(Raw_Meta!$E$6:$E$28,B14)</f>
        <v>1</v>
      </c>
      <c r="I14" s="39" t="n">
        <f aca="false">SUMIFS(Raw_Meta!$L$6:$L$28,Raw_Meta!$E$6:$E$28,B14,Raw_Meta!$N$6:$N$28,"Jan-25")</f>
        <v>0</v>
      </c>
      <c r="J14" s="39" t="n">
        <f aca="false">SUMIFS(Raw_Meta!$L$6:$L$28,Raw_Meta!$E$6:$E$28,B14,Raw_Meta!$N$6:$N$28,"Feb-25")</f>
        <v>0</v>
      </c>
      <c r="K14" s="39" t="n">
        <f aca="false">SUMIFS(Raw_Meta!$L$6:$L$28,Raw_Meta!$E$6:$E$28,B14,Raw_Meta!$N$6:$N$28,"Mar-25")</f>
        <v>4300</v>
      </c>
      <c r="L14" s="39" t="n">
        <f aca="false">SUMIFS(Raw_Meta!$L$6:$L$28,Raw_Meta!$E$6:$E$28,B14,Raw_Meta!$N$6:$N$28,"Apr-25")</f>
        <v>0</v>
      </c>
      <c r="M14" s="39" t="n">
        <f aca="false">SUMIFS(Raw_Meta!$L$6:$L$28,Raw_Meta!$E$6:$E$28,B14,Raw_Meta!$N$6:$N$28,"May-25")</f>
        <v>0</v>
      </c>
      <c r="N14" s="39" t="n">
        <f aca="false">SUMIFS(Raw_Meta!$L$6:$L$28,Raw_Meta!$E$6:$E$28,B14,Raw_Meta!$N$6:$N$28,"Jun-25")</f>
        <v>0</v>
      </c>
      <c r="O14" s="39" t="n">
        <f aca="false">SUMIFS(Raw_Meta!$L$6:$L$28,Raw_Meta!$E$6:$E$28,B14,Raw_Meta!$N$6:$N$28,"Jul-25")+SUMIFS(Raw_Meta!$L$6:$L$28,Raw_Meta!$E$6:$E$28,B14,Raw_Meta!$N$6:$N$28,"Aug-25")+SUMIFS(Raw_Meta!$L$6:$L$28,Raw_Meta!$E$6:$E$28,B14,Raw_Meta!$N$6:$N$28,"Sep-25")+SUMIFS(Raw_Meta!$L$6:$L$28,Raw_Meta!$E$6:$E$28,B14,Raw_Meta!$N$6:$N$28,"Oct-25")+SUMIFS(Raw_Meta!$L$6:$L$28,Raw_Meta!$E$6:$E$28,B14,Raw_Meta!$N$6:$N$28,"Nov-25")+SUMIFS(Raw_Meta!$L$6:$L$28,Raw_Meta!$E$6:$E$28,B14,Raw_Meta!$N$6:$N$28,"Dec-25")</f>
        <v>0</v>
      </c>
    </row>
    <row r="15" customFormat="false" ht="19.5" hidden="false" customHeight="true" outlineLevel="0" collapsed="false">
      <c r="A15" s="1"/>
      <c r="B15" s="45" t="s">
        <v>120</v>
      </c>
      <c r="C15" s="46" t="n">
        <f aca="false">SUMIFS(Raw_Meta!$L$6:$L$28,Raw_Meta!$E$6:$E$28,B15)</f>
        <v>3200</v>
      </c>
      <c r="D15" s="46" t="n">
        <f aca="false">IFERROR(SUMIFS(Raw_Meta!$L$6:$L$28,Raw_Meta!$E$6:$E$28,B15)*SUMIFS(Raw_Meta!$H$6:$H$28,Raw_Meta!$E$6:$E$28,B15)/SUMIFS(Raw_Meta!$G$6:$G$28,Raw_Meta!$E$6:$E$28,B15),0)</f>
        <v>250</v>
      </c>
      <c r="E15" s="46" t="n">
        <f aca="false">C15-D15</f>
        <v>2950</v>
      </c>
      <c r="F15" s="61" t="n">
        <f aca="false">C15</f>
        <v>3200</v>
      </c>
      <c r="G15" s="62" t="n">
        <f aca="false">IFERROR(D15/C15,0)</f>
        <v>0.078125</v>
      </c>
      <c r="H15" s="63" t="n">
        <f aca="false">COUNTIFS(Raw_Meta!$E$6:$E$28,B15)</f>
        <v>1</v>
      </c>
      <c r="I15" s="37" t="n">
        <f aca="false">SUMIFS(Raw_Meta!$L$6:$L$28,Raw_Meta!$E$6:$E$28,B15,Raw_Meta!$N$6:$N$28,"Jan-25")</f>
        <v>0</v>
      </c>
      <c r="J15" s="37" t="n">
        <f aca="false">SUMIFS(Raw_Meta!$L$6:$L$28,Raw_Meta!$E$6:$E$28,B15,Raw_Meta!$N$6:$N$28,"Feb-25")</f>
        <v>0</v>
      </c>
      <c r="K15" s="37" t="n">
        <f aca="false">SUMIFS(Raw_Meta!$L$6:$L$28,Raw_Meta!$E$6:$E$28,B15,Raw_Meta!$N$6:$N$28,"Mar-25")</f>
        <v>0</v>
      </c>
      <c r="L15" s="37" t="n">
        <f aca="false">SUMIFS(Raw_Meta!$L$6:$L$28,Raw_Meta!$E$6:$E$28,B15,Raw_Meta!$N$6:$N$28,"Apr-25")</f>
        <v>3200</v>
      </c>
      <c r="M15" s="37" t="n">
        <f aca="false">SUMIFS(Raw_Meta!$L$6:$L$28,Raw_Meta!$E$6:$E$28,B15,Raw_Meta!$N$6:$N$28,"May-25")</f>
        <v>0</v>
      </c>
      <c r="N15" s="37" t="n">
        <f aca="false">SUMIFS(Raw_Meta!$L$6:$L$28,Raw_Meta!$E$6:$E$28,B15,Raw_Meta!$N$6:$N$28,"Jun-25")</f>
        <v>0</v>
      </c>
      <c r="O15" s="37" t="n">
        <f aca="false">SUMIFS(Raw_Meta!$L$6:$L$28,Raw_Meta!$E$6:$E$28,B15,Raw_Meta!$N$6:$N$28,"Jul-25")+SUMIFS(Raw_Meta!$L$6:$L$28,Raw_Meta!$E$6:$E$28,B15,Raw_Meta!$N$6:$N$28,"Aug-25")+SUMIFS(Raw_Meta!$L$6:$L$28,Raw_Meta!$E$6:$E$28,B15,Raw_Meta!$N$6:$N$28,"Sep-25")+SUMIFS(Raw_Meta!$L$6:$L$28,Raw_Meta!$E$6:$E$28,B15,Raw_Meta!$N$6:$N$28,"Oct-25")+SUMIFS(Raw_Meta!$L$6:$L$28,Raw_Meta!$E$6:$E$28,B15,Raw_Meta!$N$6:$N$28,"Nov-25")+SUMIFS(Raw_Meta!$L$6:$L$28,Raw_Meta!$E$6:$E$28,B15,Raw_Meta!$N$6:$N$28,"Dec-25")</f>
        <v>0</v>
      </c>
    </row>
    <row r="16" customFormat="false" ht="19.5" hidden="false" customHeight="true" outlineLevel="0" collapsed="false">
      <c r="A16" s="1"/>
      <c r="B16" s="50" t="s">
        <v>118</v>
      </c>
      <c r="C16" s="51" t="n">
        <f aca="false">SUMIFS(Raw_Meta!$L$6:$L$28,Raw_Meta!$E$6:$E$28,B16)</f>
        <v>3900</v>
      </c>
      <c r="D16" s="51" t="n">
        <f aca="false">IFERROR(SUMIFS(Raw_Meta!$L$6:$L$28,Raw_Meta!$E$6:$E$28,B16)*SUMIFS(Raw_Meta!$H$6:$H$28,Raw_Meta!$E$6:$E$28,B16)/SUMIFS(Raw_Meta!$G$6:$G$28,Raw_Meta!$E$6:$E$28,B16),0)</f>
        <v>300</v>
      </c>
      <c r="E16" s="51" t="n">
        <f aca="false">C16-D16</f>
        <v>3600</v>
      </c>
      <c r="F16" s="61" t="n">
        <f aca="false">C16</f>
        <v>3900</v>
      </c>
      <c r="G16" s="64" t="n">
        <f aca="false">IFERROR(D16/C16,0)</f>
        <v>0.0769230769230769</v>
      </c>
      <c r="H16" s="65" t="n">
        <f aca="false">COUNTIFS(Raw_Meta!$E$6:$E$28,B16)</f>
        <v>1</v>
      </c>
      <c r="I16" s="39" t="n">
        <f aca="false">SUMIFS(Raw_Meta!$L$6:$L$28,Raw_Meta!$E$6:$E$28,B16,Raw_Meta!$N$6:$N$28,"Jan-25")</f>
        <v>0</v>
      </c>
      <c r="J16" s="39" t="n">
        <f aca="false">SUMIFS(Raw_Meta!$L$6:$L$28,Raw_Meta!$E$6:$E$28,B16,Raw_Meta!$N$6:$N$28,"Feb-25")</f>
        <v>0</v>
      </c>
      <c r="K16" s="39" t="n">
        <f aca="false">SUMIFS(Raw_Meta!$L$6:$L$28,Raw_Meta!$E$6:$E$28,B16,Raw_Meta!$N$6:$N$28,"Mar-25")</f>
        <v>0</v>
      </c>
      <c r="L16" s="39" t="n">
        <f aca="false">SUMIFS(Raw_Meta!$L$6:$L$28,Raw_Meta!$E$6:$E$28,B16,Raw_Meta!$N$6:$N$28,"Apr-25")</f>
        <v>0</v>
      </c>
      <c r="M16" s="39" t="n">
        <f aca="false">SUMIFS(Raw_Meta!$L$6:$L$28,Raw_Meta!$E$6:$E$28,B16,Raw_Meta!$N$6:$N$28,"May-25")</f>
        <v>3900</v>
      </c>
      <c r="N16" s="39" t="n">
        <f aca="false">SUMIFS(Raw_Meta!$L$6:$L$28,Raw_Meta!$E$6:$E$28,B16,Raw_Meta!$N$6:$N$28,"Jun-25")</f>
        <v>0</v>
      </c>
      <c r="O16" s="39" t="n">
        <f aca="false">SUMIFS(Raw_Meta!$L$6:$L$28,Raw_Meta!$E$6:$E$28,B16,Raw_Meta!$N$6:$N$28,"Jul-25")+SUMIFS(Raw_Meta!$L$6:$L$28,Raw_Meta!$E$6:$E$28,B16,Raw_Meta!$N$6:$N$28,"Aug-25")+SUMIFS(Raw_Meta!$L$6:$L$28,Raw_Meta!$E$6:$E$28,B16,Raw_Meta!$N$6:$N$28,"Sep-25")+SUMIFS(Raw_Meta!$L$6:$L$28,Raw_Meta!$E$6:$E$28,B16,Raw_Meta!$N$6:$N$28,"Oct-25")+SUMIFS(Raw_Meta!$L$6:$L$28,Raw_Meta!$E$6:$E$28,B16,Raw_Meta!$N$6:$N$28,"Nov-25")+SUMIFS(Raw_Meta!$L$6:$L$28,Raw_Meta!$E$6:$E$28,B16,Raw_Meta!$N$6:$N$28,"Dec-25")</f>
        <v>0</v>
      </c>
    </row>
    <row r="17" customFormat="false" ht="19.5" hidden="false" customHeight="true" outlineLevel="0" collapsed="false">
      <c r="A17" s="1"/>
      <c r="B17" s="45" t="s">
        <v>108</v>
      </c>
      <c r="C17" s="46" t="n">
        <f aca="false">SUMIFS(Raw_Meta!$L$6:$L$28,Raw_Meta!$E$6:$E$28,B17)</f>
        <v>6600</v>
      </c>
      <c r="D17" s="46" t="n">
        <f aca="false">IFERROR(SUMIFS(Raw_Meta!$L$6:$L$28,Raw_Meta!$E$6:$E$28,B17)*SUMIFS(Raw_Meta!$H$6:$H$28,Raw_Meta!$E$6:$E$28,B17)/SUMIFS(Raw_Meta!$G$6:$G$28,Raw_Meta!$E$6:$E$28,B17),0)</f>
        <v>700</v>
      </c>
      <c r="E17" s="46" t="n">
        <f aca="false">C17-D17</f>
        <v>5900</v>
      </c>
      <c r="F17" s="61" t="n">
        <f aca="false">C17</f>
        <v>6600</v>
      </c>
      <c r="G17" s="62" t="n">
        <f aca="false">IFERROR(D17/C17,0)</f>
        <v>0.106060606060606</v>
      </c>
      <c r="H17" s="63" t="n">
        <f aca="false">COUNTIFS(Raw_Meta!$E$6:$E$28,B17)</f>
        <v>1</v>
      </c>
      <c r="I17" s="37" t="n">
        <f aca="false">SUMIFS(Raw_Meta!$L$6:$L$28,Raw_Meta!$E$6:$E$28,B17,Raw_Meta!$N$6:$N$28,"Jan-25")</f>
        <v>0</v>
      </c>
      <c r="J17" s="37" t="n">
        <f aca="false">SUMIFS(Raw_Meta!$L$6:$L$28,Raw_Meta!$E$6:$E$28,B17,Raw_Meta!$N$6:$N$28,"Feb-25")</f>
        <v>0</v>
      </c>
      <c r="K17" s="37" t="n">
        <f aca="false">SUMIFS(Raw_Meta!$L$6:$L$28,Raw_Meta!$E$6:$E$28,B17,Raw_Meta!$N$6:$N$28,"Mar-25")</f>
        <v>0</v>
      </c>
      <c r="L17" s="37" t="n">
        <f aca="false">SUMIFS(Raw_Meta!$L$6:$L$28,Raw_Meta!$E$6:$E$28,B17,Raw_Meta!$N$6:$N$28,"Apr-25")</f>
        <v>0</v>
      </c>
      <c r="M17" s="37" t="n">
        <f aca="false">SUMIFS(Raw_Meta!$L$6:$L$28,Raw_Meta!$E$6:$E$28,B17,Raw_Meta!$N$6:$N$28,"May-25")</f>
        <v>0</v>
      </c>
      <c r="N17" s="37" t="n">
        <f aca="false">SUMIFS(Raw_Meta!$L$6:$L$28,Raw_Meta!$E$6:$E$28,B17,Raw_Meta!$N$6:$N$28,"Jun-25")</f>
        <v>6600</v>
      </c>
      <c r="O17" s="37" t="n">
        <f aca="false">SUMIFS(Raw_Meta!$L$6:$L$28,Raw_Meta!$E$6:$E$28,B17,Raw_Meta!$N$6:$N$28,"Jul-25")+SUMIFS(Raw_Meta!$L$6:$L$28,Raw_Meta!$E$6:$E$28,B17,Raw_Meta!$N$6:$N$28,"Aug-25")+SUMIFS(Raw_Meta!$L$6:$L$28,Raw_Meta!$E$6:$E$28,B17,Raw_Meta!$N$6:$N$28,"Sep-25")+SUMIFS(Raw_Meta!$L$6:$L$28,Raw_Meta!$E$6:$E$28,B17,Raw_Meta!$N$6:$N$28,"Oct-25")+SUMIFS(Raw_Meta!$L$6:$L$28,Raw_Meta!$E$6:$E$28,B17,Raw_Meta!$N$6:$N$28,"Nov-25")+SUMIFS(Raw_Meta!$L$6:$L$28,Raw_Meta!$E$6:$E$28,B17,Raw_Meta!$N$6:$N$28,"Dec-25")</f>
        <v>0</v>
      </c>
    </row>
    <row r="18" customFormat="false" ht="19.5" hidden="false" customHeight="true" outlineLevel="0" collapsed="false">
      <c r="A18" s="1"/>
      <c r="B18" s="50" t="s">
        <v>112</v>
      </c>
      <c r="C18" s="51" t="n">
        <f aca="false">SUMIFS(Raw_Meta!$L$6:$L$28,Raw_Meta!$E$6:$E$28,B18)</f>
        <v>5800</v>
      </c>
      <c r="D18" s="51" t="n">
        <f aca="false">IFERROR(SUMIFS(Raw_Meta!$L$6:$L$28,Raw_Meta!$E$6:$E$28,B18)*SUMIFS(Raw_Meta!$H$6:$H$28,Raw_Meta!$E$6:$E$28,B18)/SUMIFS(Raw_Meta!$G$6:$G$28,Raw_Meta!$E$6:$E$28,B18),0)</f>
        <v>450</v>
      </c>
      <c r="E18" s="51" t="n">
        <f aca="false">C18-D18</f>
        <v>5350</v>
      </c>
      <c r="F18" s="61" t="n">
        <f aca="false">C18</f>
        <v>5800</v>
      </c>
      <c r="G18" s="64" t="n">
        <f aca="false">IFERROR(D18/C18,0)</f>
        <v>0.0775862068965517</v>
      </c>
      <c r="H18" s="65" t="n">
        <f aca="false">COUNTIFS(Raw_Meta!$E$6:$E$28,B18)</f>
        <v>1</v>
      </c>
      <c r="I18" s="39" t="n">
        <f aca="false">SUMIFS(Raw_Meta!$L$6:$L$28,Raw_Meta!$E$6:$E$28,B18,Raw_Meta!$N$6:$N$28,"Jan-25")</f>
        <v>0</v>
      </c>
      <c r="J18" s="39" t="n">
        <f aca="false">SUMIFS(Raw_Meta!$L$6:$L$28,Raw_Meta!$E$6:$E$28,B18,Raw_Meta!$N$6:$N$28,"Feb-25")</f>
        <v>0</v>
      </c>
      <c r="K18" s="39" t="n">
        <f aca="false">SUMIFS(Raw_Meta!$L$6:$L$28,Raw_Meta!$E$6:$E$28,B18,Raw_Meta!$N$6:$N$28,"Mar-25")</f>
        <v>0</v>
      </c>
      <c r="L18" s="39" t="n">
        <f aca="false">SUMIFS(Raw_Meta!$L$6:$L$28,Raw_Meta!$E$6:$E$28,B18,Raw_Meta!$N$6:$N$28,"Apr-25")</f>
        <v>0</v>
      </c>
      <c r="M18" s="39" t="n">
        <f aca="false">SUMIFS(Raw_Meta!$L$6:$L$28,Raw_Meta!$E$6:$E$28,B18,Raw_Meta!$N$6:$N$28,"May-25")</f>
        <v>0</v>
      </c>
      <c r="N18" s="39" t="n">
        <f aca="false">SUMIFS(Raw_Meta!$L$6:$L$28,Raw_Meta!$E$6:$E$28,B18,Raw_Meta!$N$6:$N$28,"Jun-25")</f>
        <v>5800</v>
      </c>
      <c r="O18" s="39" t="n">
        <f aca="false">SUMIFS(Raw_Meta!$L$6:$L$28,Raw_Meta!$E$6:$E$28,B18,Raw_Meta!$N$6:$N$28,"Jul-25")+SUMIFS(Raw_Meta!$L$6:$L$28,Raw_Meta!$E$6:$E$28,B18,Raw_Meta!$N$6:$N$28,"Aug-25")+SUMIFS(Raw_Meta!$L$6:$L$28,Raw_Meta!$E$6:$E$28,B18,Raw_Meta!$N$6:$N$28,"Sep-25")+SUMIFS(Raw_Meta!$L$6:$L$28,Raw_Meta!$E$6:$E$28,B18,Raw_Meta!$N$6:$N$28,"Oct-25")+SUMIFS(Raw_Meta!$L$6:$L$28,Raw_Meta!$E$6:$E$28,B18,Raw_Meta!$N$6:$N$28,"Nov-25")+SUMIFS(Raw_Meta!$L$6:$L$28,Raw_Meta!$E$6:$E$28,B18,Raw_Meta!$N$6:$N$28,"Dec-25")</f>
        <v>0</v>
      </c>
    </row>
    <row r="19" customFormat="false" ht="19.5" hidden="false" customHeight="true" outlineLevel="0" collapsed="false">
      <c r="A19" s="1"/>
      <c r="B19" s="45" t="s">
        <v>121</v>
      </c>
      <c r="C19" s="46" t="n">
        <f aca="false">SUMIFS(Raw_Meta!$L$6:$L$28,Raw_Meta!$E$6:$E$28,B19)</f>
        <v>7200</v>
      </c>
      <c r="D19" s="46" t="n">
        <f aca="false">IFERROR(SUMIFS(Raw_Meta!$L$6:$L$28,Raw_Meta!$E$6:$E$28,B19)*SUMIFS(Raw_Meta!$H$6:$H$28,Raw_Meta!$E$6:$E$28,B19)/SUMIFS(Raw_Meta!$G$6:$G$28,Raw_Meta!$E$6:$E$28,B19),0)</f>
        <v>600</v>
      </c>
      <c r="E19" s="46" t="n">
        <f aca="false">C19-D19</f>
        <v>6600</v>
      </c>
      <c r="F19" s="61" t="n">
        <f aca="false">C19</f>
        <v>7200</v>
      </c>
      <c r="G19" s="62" t="n">
        <f aca="false">IFERROR(D19/C19,0)</f>
        <v>0.0833333333333333</v>
      </c>
      <c r="H19" s="63" t="n">
        <f aca="false">COUNTIFS(Raw_Meta!$E$6:$E$28,B19)</f>
        <v>1</v>
      </c>
      <c r="I19" s="37" t="n">
        <f aca="false">SUMIFS(Raw_Meta!$L$6:$L$28,Raw_Meta!$E$6:$E$28,B19,Raw_Meta!$N$6:$N$28,"Jan-25")</f>
        <v>0</v>
      </c>
      <c r="J19" s="37" t="n">
        <f aca="false">SUMIFS(Raw_Meta!$L$6:$L$28,Raw_Meta!$E$6:$E$28,B19,Raw_Meta!$N$6:$N$28,"Feb-25")</f>
        <v>0</v>
      </c>
      <c r="K19" s="37" t="n">
        <f aca="false">SUMIFS(Raw_Meta!$L$6:$L$28,Raw_Meta!$E$6:$E$28,B19,Raw_Meta!$N$6:$N$28,"Mar-25")</f>
        <v>0</v>
      </c>
      <c r="L19" s="37" t="n">
        <f aca="false">SUMIFS(Raw_Meta!$L$6:$L$28,Raw_Meta!$E$6:$E$28,B19,Raw_Meta!$N$6:$N$28,"Apr-25")</f>
        <v>0</v>
      </c>
      <c r="M19" s="37" t="n">
        <f aca="false">SUMIFS(Raw_Meta!$L$6:$L$28,Raw_Meta!$E$6:$E$28,B19,Raw_Meta!$N$6:$N$28,"May-25")</f>
        <v>0</v>
      </c>
      <c r="N19" s="37" t="n">
        <f aca="false">SUMIFS(Raw_Meta!$L$6:$L$28,Raw_Meta!$E$6:$E$28,B19,Raw_Meta!$N$6:$N$28,"Jun-25")</f>
        <v>0</v>
      </c>
      <c r="O19" s="37" t="n">
        <f aca="false">SUMIFS(Raw_Meta!$L$6:$L$28,Raw_Meta!$E$6:$E$28,B19,Raw_Meta!$N$6:$N$28,"Jul-25")+SUMIFS(Raw_Meta!$L$6:$L$28,Raw_Meta!$E$6:$E$28,B19,Raw_Meta!$N$6:$N$28,"Aug-25")+SUMIFS(Raw_Meta!$L$6:$L$28,Raw_Meta!$E$6:$E$28,B19,Raw_Meta!$N$6:$N$28,"Sep-25")+SUMIFS(Raw_Meta!$L$6:$L$28,Raw_Meta!$E$6:$E$28,B19,Raw_Meta!$N$6:$N$28,"Oct-25")+SUMIFS(Raw_Meta!$L$6:$L$28,Raw_Meta!$E$6:$E$28,B19,Raw_Meta!$N$6:$N$28,"Nov-25")+SUMIFS(Raw_Meta!$L$6:$L$28,Raw_Meta!$E$6:$E$28,B19,Raw_Meta!$N$6:$N$28,"Dec-25")</f>
        <v>7200</v>
      </c>
    </row>
    <row r="20" customFormat="false" ht="19.5" hidden="false" customHeight="true" outlineLevel="0" collapsed="false">
      <c r="A20" s="1"/>
      <c r="B20" s="50" t="s">
        <v>122</v>
      </c>
      <c r="C20" s="51" t="n">
        <f aca="false">SUMIFS(Raw_Meta!$L$6:$L$28,Raw_Meta!$E$6:$E$28,B20)</f>
        <v>9800</v>
      </c>
      <c r="D20" s="51" t="n">
        <f aca="false">IFERROR(SUMIFS(Raw_Meta!$L$6:$L$28,Raw_Meta!$E$6:$E$28,B20)*SUMIFS(Raw_Meta!$H$6:$H$28,Raw_Meta!$E$6:$E$28,B20)/SUMIFS(Raw_Meta!$G$6:$G$28,Raw_Meta!$E$6:$E$28,B20),0)</f>
        <v>800</v>
      </c>
      <c r="E20" s="51" t="n">
        <f aca="false">C20-D20</f>
        <v>9000</v>
      </c>
      <c r="F20" s="61" t="n">
        <f aca="false">C20</f>
        <v>9800</v>
      </c>
      <c r="G20" s="64" t="n">
        <f aca="false">IFERROR(D20/C20,0)</f>
        <v>0.0816326530612245</v>
      </c>
      <c r="H20" s="65" t="n">
        <f aca="false">COUNTIFS(Raw_Meta!$E$6:$E$28,B20)</f>
        <v>1</v>
      </c>
      <c r="I20" s="39" t="n">
        <f aca="false">SUMIFS(Raw_Meta!$L$6:$L$28,Raw_Meta!$E$6:$E$28,B20,Raw_Meta!$N$6:$N$28,"Jan-25")</f>
        <v>0</v>
      </c>
      <c r="J20" s="39" t="n">
        <f aca="false">SUMIFS(Raw_Meta!$L$6:$L$28,Raw_Meta!$E$6:$E$28,B20,Raw_Meta!$N$6:$N$28,"Feb-25")</f>
        <v>0</v>
      </c>
      <c r="K20" s="39" t="n">
        <f aca="false">SUMIFS(Raw_Meta!$L$6:$L$28,Raw_Meta!$E$6:$E$28,B20,Raw_Meta!$N$6:$N$28,"Mar-25")</f>
        <v>0</v>
      </c>
      <c r="L20" s="39" t="n">
        <f aca="false">SUMIFS(Raw_Meta!$L$6:$L$28,Raw_Meta!$E$6:$E$28,B20,Raw_Meta!$N$6:$N$28,"Apr-25")</f>
        <v>0</v>
      </c>
      <c r="M20" s="39" t="n">
        <f aca="false">SUMIFS(Raw_Meta!$L$6:$L$28,Raw_Meta!$E$6:$E$28,B20,Raw_Meta!$N$6:$N$28,"May-25")</f>
        <v>0</v>
      </c>
      <c r="N20" s="39" t="n">
        <f aca="false">SUMIFS(Raw_Meta!$L$6:$L$28,Raw_Meta!$E$6:$E$28,B20,Raw_Meta!$N$6:$N$28,"Jun-25")</f>
        <v>0</v>
      </c>
      <c r="O20" s="39" t="n">
        <f aca="false">SUMIFS(Raw_Meta!$L$6:$L$28,Raw_Meta!$E$6:$E$28,B20,Raw_Meta!$N$6:$N$28,"Jul-25")+SUMIFS(Raw_Meta!$L$6:$L$28,Raw_Meta!$E$6:$E$28,B20,Raw_Meta!$N$6:$N$28,"Aug-25")+SUMIFS(Raw_Meta!$L$6:$L$28,Raw_Meta!$E$6:$E$28,B20,Raw_Meta!$N$6:$N$28,"Sep-25")+SUMIFS(Raw_Meta!$L$6:$L$28,Raw_Meta!$E$6:$E$28,B20,Raw_Meta!$N$6:$N$28,"Oct-25")+SUMIFS(Raw_Meta!$L$6:$L$28,Raw_Meta!$E$6:$E$28,B20,Raw_Meta!$N$6:$N$28,"Nov-25")+SUMIFS(Raw_Meta!$L$6:$L$28,Raw_Meta!$E$6:$E$28,B20,Raw_Meta!$N$6:$N$28,"Dec-25")</f>
        <v>9800</v>
      </c>
    </row>
    <row r="21" customFormat="false" ht="24" hidden="false" customHeight="true" outlineLevel="0" collapsed="false">
      <c r="A21" s="1"/>
      <c r="B21" s="40" t="s">
        <v>145</v>
      </c>
      <c r="C21" s="41" t="n">
        <f aca="false">SUM(C7:C20)</f>
        <v>133600</v>
      </c>
      <c r="D21" s="41" t="n">
        <f aca="false">SUM(D7:D20)</f>
        <v>11650</v>
      </c>
      <c r="E21" s="41" t="n">
        <f aca="false">SUM(E7:E20)</f>
        <v>121950</v>
      </c>
      <c r="F21" s="66" t="n">
        <f aca="false">SUM(F7:F20)</f>
        <v>133600</v>
      </c>
      <c r="G21" s="67" t="n">
        <f aca="false">IFERROR(D21/C21,0)</f>
        <v>0.0872005988023952</v>
      </c>
      <c r="H21" s="68" t="n">
        <f aca="false">SUM(H7:H20)</f>
        <v>23</v>
      </c>
      <c r="I21" s="41" t="n">
        <f aca="false">SUM(I7:I20)</f>
        <v>19700</v>
      </c>
      <c r="J21" s="41" t="n">
        <f aca="false">SUM(J7:J20)</f>
        <v>16300</v>
      </c>
      <c r="K21" s="41" t="n">
        <f aca="false">SUM(K7:K20)</f>
        <v>30300</v>
      </c>
      <c r="L21" s="41" t="n">
        <f aca="false">SUM(L7:L20)</f>
        <v>9300</v>
      </c>
      <c r="M21" s="41" t="n">
        <f aca="false">SUM(M7:M20)</f>
        <v>17300</v>
      </c>
      <c r="N21" s="41" t="n">
        <f aca="false">SUM(N7:N20)</f>
        <v>12400</v>
      </c>
      <c r="O21" s="41" t="n">
        <f aca="false">SUM(O7:O20)</f>
        <v>28300</v>
      </c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customFormat="false" ht="25.5" hidden="false" customHeight="true" outlineLevel="0" collapsed="false">
      <c r="A24" s="1"/>
      <c r="B24" s="10" t="s">
        <v>146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customFormat="false" ht="30" hidden="false" customHeight="true" outlineLevel="0" collapsed="false">
      <c r="A25" s="1"/>
      <c r="B25" s="33" t="s">
        <v>57</v>
      </c>
      <c r="C25" s="35" t="s">
        <v>147</v>
      </c>
      <c r="D25" s="35" t="s">
        <v>148</v>
      </c>
      <c r="E25" s="35" t="s">
        <v>149</v>
      </c>
      <c r="F25" s="1"/>
      <c r="G25" s="1"/>
      <c r="H25" s="1"/>
      <c r="I25" s="1"/>
      <c r="J25" s="1"/>
      <c r="K25" s="1"/>
      <c r="L25" s="1"/>
      <c r="M25" s="1"/>
      <c r="N25" s="1"/>
    </row>
    <row r="26" customFormat="false" ht="18" hidden="false" customHeight="true" outlineLevel="0" collapsed="false">
      <c r="A26" s="1"/>
      <c r="B26" s="69" t="s">
        <v>63</v>
      </c>
      <c r="C26" s="46" t="n">
        <f aca="false">E26-D26</f>
        <v>18100</v>
      </c>
      <c r="D26" s="46" t="n">
        <f aca="false">IFERROR(SUMIFS(Raw_Meta!$L$6:$L$28,Raw_Meta!$N$6:$N$28,B26)*SUMIFS(Raw_Meta!$H$6:$H$28,Raw_Meta!$N$6:$N$28,B26)/SUMIFS(Raw_Meta!$G$6:$G$28,Raw_Meta!$N$6:$N$28,B26),0)</f>
        <v>1600</v>
      </c>
      <c r="E26" s="46" t="n">
        <f aca="false">SUMIFS(Raw_Meta!$L$6:$L$28,Raw_Meta!$N$6:$N$28,B26)</f>
        <v>19700</v>
      </c>
      <c r="F26" s="1"/>
      <c r="G26" s="1"/>
      <c r="H26" s="1"/>
      <c r="I26" s="1"/>
      <c r="J26" s="1"/>
      <c r="K26" s="1"/>
      <c r="L26" s="1"/>
      <c r="M26" s="1"/>
      <c r="N26" s="1"/>
    </row>
    <row r="27" customFormat="false" ht="18" hidden="false" customHeight="true" outlineLevel="0" collapsed="false">
      <c r="A27" s="1"/>
      <c r="B27" s="70" t="s">
        <v>64</v>
      </c>
      <c r="C27" s="51" t="n">
        <f aca="false">E27-D27</f>
        <v>14950</v>
      </c>
      <c r="D27" s="51" t="n">
        <f aca="false">IFERROR(SUMIFS(Raw_Meta!$L$6:$L$28,Raw_Meta!$N$6:$N$28,B27)*SUMIFS(Raw_Meta!$H$6:$H$28,Raw_Meta!$N$6:$N$28,B27)/SUMIFS(Raw_Meta!$G$6:$G$28,Raw_Meta!$N$6:$N$28,B27),0)</f>
        <v>1350</v>
      </c>
      <c r="E27" s="51" t="n">
        <f aca="false">SUMIFS(Raw_Meta!$L$6:$L$28,Raw_Meta!$N$6:$N$28,B27)</f>
        <v>16300</v>
      </c>
      <c r="F27" s="1"/>
      <c r="G27" s="1"/>
      <c r="H27" s="1"/>
      <c r="I27" s="1"/>
      <c r="J27" s="1"/>
      <c r="K27" s="1"/>
      <c r="L27" s="1"/>
      <c r="M27" s="1"/>
      <c r="N27" s="1"/>
    </row>
    <row r="28" customFormat="false" ht="18" hidden="false" customHeight="true" outlineLevel="0" collapsed="false">
      <c r="A28" s="1"/>
      <c r="B28" s="69" t="s">
        <v>65</v>
      </c>
      <c r="C28" s="46" t="n">
        <f aca="false">E28-D28</f>
        <v>27650</v>
      </c>
      <c r="D28" s="46" t="n">
        <f aca="false">IFERROR(SUMIFS(Raw_Meta!$L$6:$L$28,Raw_Meta!$N$6:$N$28,B28)*SUMIFS(Raw_Meta!$H$6:$H$28,Raw_Meta!$N$6:$N$28,B28)/SUMIFS(Raw_Meta!$G$6:$G$28,Raw_Meta!$N$6:$N$28,B28),0)</f>
        <v>2650</v>
      </c>
      <c r="E28" s="46" t="n">
        <f aca="false">SUMIFS(Raw_Meta!$L$6:$L$28,Raw_Meta!$N$6:$N$28,B28)</f>
        <v>30300</v>
      </c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8" hidden="false" customHeight="true" outlineLevel="0" collapsed="false">
      <c r="A29" s="1"/>
      <c r="B29" s="70" t="s">
        <v>66</v>
      </c>
      <c r="C29" s="51" t="n">
        <f aca="false">E29-D29</f>
        <v>8450</v>
      </c>
      <c r="D29" s="51" t="n">
        <f aca="false">IFERROR(SUMIFS(Raw_Meta!$L$6:$L$28,Raw_Meta!$N$6:$N$28,B29)*SUMIFS(Raw_Meta!$H$6:$H$28,Raw_Meta!$N$6:$N$28,B29)/SUMIFS(Raw_Meta!$G$6:$G$28,Raw_Meta!$N$6:$N$28,B29),0)</f>
        <v>850</v>
      </c>
      <c r="E29" s="51" t="n">
        <f aca="false">SUMIFS(Raw_Meta!$L$6:$L$28,Raw_Meta!$N$6:$N$28,B29)</f>
        <v>9300</v>
      </c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8" hidden="false" customHeight="true" outlineLevel="0" collapsed="false">
      <c r="A30" s="1"/>
      <c r="B30" s="69" t="s">
        <v>67</v>
      </c>
      <c r="C30" s="46" t="n">
        <f aca="false">E30-D30</f>
        <v>15750</v>
      </c>
      <c r="D30" s="46" t="n">
        <f aca="false">IFERROR(SUMIFS(Raw_Meta!$L$6:$L$28,Raw_Meta!$N$6:$N$28,B30)*SUMIFS(Raw_Meta!$H$6:$H$28,Raw_Meta!$N$6:$N$28,B30)/SUMIFS(Raw_Meta!$G$6:$G$28,Raw_Meta!$N$6:$N$28,B30),0)</f>
        <v>1550</v>
      </c>
      <c r="E30" s="46" t="n">
        <f aca="false">SUMIFS(Raw_Meta!$L$6:$L$28,Raw_Meta!$N$6:$N$28,B30)</f>
        <v>17300</v>
      </c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8" hidden="false" customHeight="true" outlineLevel="0" collapsed="false">
      <c r="A31" s="1"/>
      <c r="B31" s="70" t="s">
        <v>68</v>
      </c>
      <c r="C31" s="51" t="n">
        <f aca="false">E31-D31</f>
        <v>11250</v>
      </c>
      <c r="D31" s="51" t="n">
        <f aca="false">IFERROR(SUMIFS(Raw_Meta!$L$6:$L$28,Raw_Meta!$N$6:$N$28,B31)*SUMIFS(Raw_Meta!$H$6:$H$28,Raw_Meta!$N$6:$N$28,B31)/SUMIFS(Raw_Meta!$G$6:$G$28,Raw_Meta!$N$6:$N$28,B31),0)</f>
        <v>1150</v>
      </c>
      <c r="E31" s="51" t="n">
        <f aca="false">SUMIFS(Raw_Meta!$L$6:$L$28,Raw_Meta!$N$6:$N$28,B31)</f>
        <v>12400</v>
      </c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8" hidden="false" customHeight="true" outlineLevel="0" collapsed="false">
      <c r="A32" s="1"/>
      <c r="B32" s="69" t="s">
        <v>69</v>
      </c>
      <c r="C32" s="46" t="n">
        <f aca="false">E32-D32</f>
        <v>12700</v>
      </c>
      <c r="D32" s="46" t="n">
        <f aca="false">IFERROR(SUMIFS(Raw_Meta!$L$6:$L$28,Raw_Meta!$N$6:$N$28,B32)*SUMIFS(Raw_Meta!$H$6:$H$28,Raw_Meta!$N$6:$N$28,B32)/SUMIFS(Raw_Meta!$G$6:$G$28,Raw_Meta!$N$6:$N$28,B32),0)</f>
        <v>1300</v>
      </c>
      <c r="E32" s="46" t="n">
        <f aca="false">SUMIFS(Raw_Meta!$L$6:$L$28,Raw_Meta!$N$6:$N$28,B32)</f>
        <v>14000</v>
      </c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8" hidden="false" customHeight="true" outlineLevel="0" collapsed="false">
      <c r="A33" s="1"/>
      <c r="B33" s="70" t="s">
        <v>70</v>
      </c>
      <c r="C33" s="51" t="n">
        <f aca="false">E33-D33</f>
        <v>4100</v>
      </c>
      <c r="D33" s="51" t="n">
        <f aca="false">IFERROR(SUMIFS(Raw_Meta!$L$6:$L$28,Raw_Meta!$N$6:$N$28,B33)*SUMIFS(Raw_Meta!$H$6:$H$28,Raw_Meta!$N$6:$N$28,B33)/SUMIFS(Raw_Meta!$G$6:$G$28,Raw_Meta!$N$6:$N$28,B33),0)</f>
        <v>400</v>
      </c>
      <c r="E33" s="51" t="n">
        <f aca="false">SUMIFS(Raw_Meta!$L$6:$L$28,Raw_Meta!$N$6:$N$28,B33)</f>
        <v>4500</v>
      </c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8" hidden="false" customHeight="true" outlineLevel="0" collapsed="false">
      <c r="A34" s="1"/>
      <c r="B34" s="69" t="s">
        <v>71</v>
      </c>
      <c r="C34" s="46" t="n">
        <f aca="false">E34-D34</f>
        <v>9000</v>
      </c>
      <c r="D34" s="46" t="n">
        <f aca="false">IFERROR(SUMIFS(Raw_Meta!$L$6:$L$28,Raw_Meta!$N$6:$N$28,B34)*SUMIFS(Raw_Meta!$H$6:$H$28,Raw_Meta!$N$6:$N$28,B34)/SUMIFS(Raw_Meta!$G$6:$G$28,Raw_Meta!$N$6:$N$28,B34),0)</f>
        <v>800</v>
      </c>
      <c r="E34" s="46" t="n">
        <f aca="false">SUMIFS(Raw_Meta!$L$6:$L$28,Raw_Meta!$N$6:$N$28,B34)</f>
        <v>9800</v>
      </c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8" hidden="false" customHeight="true" outlineLevel="0" collapsed="false">
      <c r="A35" s="1"/>
      <c r="B35" s="70" t="s">
        <v>72</v>
      </c>
      <c r="C35" s="51" t="n">
        <f aca="false">E35-D35</f>
        <v>0</v>
      </c>
      <c r="D35" s="51" t="n">
        <f aca="false">IFERROR(SUMIFS(Raw_Meta!$L$6:$L$28,Raw_Meta!$N$6:$N$28,B35)*SUMIFS(Raw_Meta!$H$6:$H$28,Raw_Meta!$N$6:$N$28,B35)/SUMIFS(Raw_Meta!$G$6:$G$28,Raw_Meta!$N$6:$N$28,B35),0)</f>
        <v>0</v>
      </c>
      <c r="E35" s="51" t="n">
        <f aca="false">SUMIFS(Raw_Meta!$L$6:$L$28,Raw_Meta!$N$6:$N$28,B35)</f>
        <v>0</v>
      </c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8" hidden="false" customHeight="true" outlineLevel="0" collapsed="false">
      <c r="A36" s="1"/>
      <c r="B36" s="69" t="s">
        <v>73</v>
      </c>
      <c r="C36" s="46" t="n">
        <f aca="false">E36-D36</f>
        <v>0</v>
      </c>
      <c r="D36" s="46" t="n">
        <f aca="false">IFERROR(SUMIFS(Raw_Meta!$L$6:$L$28,Raw_Meta!$N$6:$N$28,B36)*SUMIFS(Raw_Meta!$H$6:$H$28,Raw_Meta!$N$6:$N$28,B36)/SUMIFS(Raw_Meta!$G$6:$G$28,Raw_Meta!$N$6:$N$28,B36),0)</f>
        <v>0</v>
      </c>
      <c r="E36" s="46" t="n">
        <f aca="false">SUMIFS(Raw_Meta!$L$6:$L$28,Raw_Meta!$N$6:$N$28,B36)</f>
        <v>0</v>
      </c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8" hidden="false" customHeight="true" outlineLevel="0" collapsed="false">
      <c r="A37" s="1"/>
      <c r="B37" s="70" t="s">
        <v>74</v>
      </c>
      <c r="C37" s="51" t="n">
        <f aca="false">E37-D37</f>
        <v>0</v>
      </c>
      <c r="D37" s="51" t="n">
        <f aca="false">IFERROR(SUMIFS(Raw_Meta!$L$6:$L$28,Raw_Meta!$N$6:$N$28,B37)*SUMIFS(Raw_Meta!$H$6:$H$28,Raw_Meta!$N$6:$N$28,B37)/SUMIFS(Raw_Meta!$G$6:$G$28,Raw_Meta!$N$6:$N$28,B37),0)</f>
        <v>0</v>
      </c>
      <c r="E37" s="51" t="n">
        <f aca="false">SUMIFS(Raw_Meta!$L$6:$L$28,Raw_Meta!$N$6:$N$28,B37)</f>
        <v>0</v>
      </c>
      <c r="F37" s="1"/>
      <c r="G37" s="1"/>
      <c r="H37" s="1"/>
      <c r="I37" s="1"/>
      <c r="J37" s="1"/>
      <c r="K37" s="1"/>
      <c r="L37" s="1"/>
      <c r="M37" s="1"/>
      <c r="N37" s="1"/>
    </row>
    <row r="38" customFormat="false" ht="24" hidden="false" customHeight="true" outlineLevel="0" collapsed="false">
      <c r="A38" s="1"/>
      <c r="B38" s="40" t="s">
        <v>75</v>
      </c>
      <c r="C38" s="55" t="n">
        <f aca="false">SUM(C26:C37)</f>
        <v>121950</v>
      </c>
      <c r="D38" s="55" t="n">
        <f aca="false">SUM(D26:D37)</f>
        <v>11650</v>
      </c>
      <c r="E38" s="55" t="n">
        <f aca="false">SUM(E26:E37)</f>
        <v>133600</v>
      </c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25.5" hidden="false" customHeight="true" outlineLevel="0" collapsed="false">
      <c r="A41" s="1"/>
      <c r="B41" s="10" t="s">
        <v>150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5">
    <mergeCell ref="B2:O2"/>
    <mergeCell ref="B3:O3"/>
    <mergeCell ref="B5:O5"/>
    <mergeCell ref="B24:O24"/>
    <mergeCell ref="B41:O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924"/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15" min="3" style="0" width="13"/>
    <col collapsed="false" customWidth="true" hidden="false" outlineLevel="0" max="16" min="16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7.5" hidden="false" customHeight="true" outlineLevel="0" collapsed="false">
      <c r="A2" s="1"/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1"/>
      <c r="R2" s="1"/>
    </row>
    <row r="3" customFormat="false" ht="18" hidden="false" customHeight="true" outlineLevel="0" collapsed="false">
      <c r="A3" s="1"/>
      <c r="B3" s="3" t="s">
        <v>152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1"/>
      <c r="R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customFormat="false" ht="25.5" hidden="false" customHeight="true" outlineLevel="0" collapsed="false">
      <c r="A5" s="1"/>
      <c r="B5" s="5" t="s">
        <v>153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1"/>
      <c r="R5" s="1"/>
    </row>
    <row r="6" customFormat="false" ht="30" hidden="false" customHeight="true" outlineLevel="0" collapsed="false">
      <c r="A6" s="1"/>
      <c r="B6" s="33" t="s">
        <v>154</v>
      </c>
      <c r="C6" s="34" t="s">
        <v>63</v>
      </c>
      <c r="D6" s="34" t="s">
        <v>64</v>
      </c>
      <c r="E6" s="34" t="s">
        <v>65</v>
      </c>
      <c r="F6" s="34" t="s">
        <v>66</v>
      </c>
      <c r="G6" s="34" t="s">
        <v>67</v>
      </c>
      <c r="H6" s="34" t="s">
        <v>68</v>
      </c>
      <c r="I6" s="34" t="s">
        <v>69</v>
      </c>
      <c r="J6" s="34" t="s">
        <v>70</v>
      </c>
      <c r="K6" s="34" t="s">
        <v>71</v>
      </c>
      <c r="L6" s="34" t="s">
        <v>72</v>
      </c>
      <c r="M6" s="34" t="s">
        <v>73</v>
      </c>
      <c r="N6" s="34" t="s">
        <v>74</v>
      </c>
      <c r="O6" s="34" t="s">
        <v>82</v>
      </c>
      <c r="P6" s="34" t="s">
        <v>155</v>
      </c>
      <c r="Q6" s="1"/>
      <c r="R6" s="1"/>
    </row>
    <row r="7" customFormat="false" ht="19.5" hidden="false" customHeight="true" outlineLevel="0" collapsed="false">
      <c r="A7" s="1"/>
      <c r="B7" s="71" t="s">
        <v>156</v>
      </c>
      <c r="C7" s="37" t="n">
        <f aca="false">SUMIFS(Raw_Stripe!$H$6:$H$33,Raw_Stripe!$M$6:$M$33,"Jan-25",Raw_Stripe!$N$6:$N$33,"WhatsApp")</f>
        <v>4202.01</v>
      </c>
      <c r="D7" s="37" t="n">
        <f aca="false">SUMIFS(Raw_Stripe!$H$6:$H$33,Raw_Stripe!$M$6:$M$33,"Feb-25",Raw_Stripe!$N$6:$N$33,"WhatsApp")</f>
        <v>3825.85</v>
      </c>
      <c r="E7" s="37" t="n">
        <f aca="false">SUMIFS(Raw_Stripe!$H$6:$H$33,Raw_Stripe!$M$6:$M$33,"Mar-25",Raw_Stripe!$N$6:$N$33,"WhatsApp")</f>
        <v>4625.64</v>
      </c>
      <c r="F7" s="37" t="n">
        <f aca="false">SUMIFS(Raw_Stripe!$H$6:$H$33,Raw_Stripe!$M$6:$M$33,"Apr-25",Raw_Stripe!$N$6:$N$33,"WhatsApp")</f>
        <v>1279.81</v>
      </c>
      <c r="G7" s="37" t="n">
        <f aca="false">SUMIFS(Raw_Stripe!$H$6:$H$33,Raw_Stripe!$M$6:$M$33,"May-25",Raw_Stripe!$N$6:$N$33,"WhatsApp")</f>
        <v>1334.27</v>
      </c>
      <c r="H7" s="37" t="n">
        <f aca="false">SUMIFS(Raw_Stripe!$H$6:$H$33,Raw_Stripe!$M$6:$M$33,"Jun-25",Raw_Stripe!$N$6:$N$33,"WhatsApp")</f>
        <v>7061.03</v>
      </c>
      <c r="I7" s="37" t="n">
        <f aca="false">SUMIFS(Raw_Stripe!$H$6:$H$33,Raw_Stripe!$M$6:$M$33,"Jul-25",Raw_Stripe!$N$6:$N$33,"WhatsApp")</f>
        <v>1415.96</v>
      </c>
      <c r="J7" s="37" t="n">
        <f aca="false">SUMIFS(Raw_Stripe!$H$6:$H$33,Raw_Stripe!$M$6:$M$33,"Aug-25",Raw_Stripe!$N$6:$N$33,"WhatsApp")</f>
        <v>2831</v>
      </c>
      <c r="K7" s="37" t="n">
        <f aca="false">SUMIFS(Raw_Stripe!$H$6:$H$33,Raw_Stripe!$M$6:$M$33,"Sep-25",Raw_Stripe!$N$6:$N$33,"WhatsApp")</f>
        <v>0</v>
      </c>
      <c r="L7" s="37" t="n">
        <f aca="false">SUMIFS(Raw_Stripe!$H$6:$H$33,Raw_Stripe!$M$6:$M$33,"Oct-25",Raw_Stripe!$N$6:$N$33,"WhatsApp")</f>
        <v>0</v>
      </c>
      <c r="M7" s="37" t="n">
        <f aca="false">SUMIFS(Raw_Stripe!$H$6:$H$33,Raw_Stripe!$M$6:$M$33,"Nov-25",Raw_Stripe!$N$6:$N$33,"WhatsApp")</f>
        <v>0</v>
      </c>
      <c r="N7" s="37" t="n">
        <f aca="false">SUMIFS(Raw_Stripe!$H$6:$H$33,Raw_Stripe!$M$6:$M$33,"Dec-25",Raw_Stripe!$N$6:$N$33,"WhatsApp")</f>
        <v>0</v>
      </c>
      <c r="O7" s="72" t="n">
        <f aca="false">SUM(C7:N7)</f>
        <v>26575.57</v>
      </c>
      <c r="P7" s="48" t="n">
        <f aca="false">IFERROR(O7/$O$10,0)</f>
        <v>0.195753806142111</v>
      </c>
      <c r="Q7" s="1"/>
      <c r="R7" s="1"/>
    </row>
    <row r="8" customFormat="false" ht="19.5" hidden="false" customHeight="true" outlineLevel="0" collapsed="false">
      <c r="A8" s="1"/>
      <c r="B8" s="73" t="s">
        <v>157</v>
      </c>
      <c r="C8" s="39" t="n">
        <f aca="false">SUMIFS(Raw_Stripe!$H$6:$H$33,Raw_Stripe!$M$6:$M$33,"Jan-25",Raw_Stripe!$N$6:$N$33,"Subscription")</f>
        <v>13782.45</v>
      </c>
      <c r="D8" s="39" t="n">
        <f aca="false">SUMIFS(Raw_Stripe!$H$6:$H$33,Raw_Stripe!$M$6:$M$33,"Feb-25",Raw_Stripe!$N$6:$N$33,"Subscription")</f>
        <v>408.45</v>
      </c>
      <c r="E8" s="39" t="n">
        <f aca="false">SUMIFS(Raw_Stripe!$H$6:$H$33,Raw_Stripe!$M$6:$M$33,"Mar-25",Raw_Stripe!$N$6:$N$33,"Subscription")</f>
        <v>408.45</v>
      </c>
      <c r="F8" s="39" t="n">
        <f aca="false">SUMIFS(Raw_Stripe!$H$6:$H$33,Raw_Stripe!$M$6:$M$33,"Apr-25",Raw_Stripe!$N$6:$N$33,"Subscription")</f>
        <v>2608.45</v>
      </c>
      <c r="G8" s="39" t="n">
        <f aca="false">SUMIFS(Raw_Stripe!$H$6:$H$33,Raw_Stripe!$M$6:$M$33,"May-25",Raw_Stripe!$N$6:$N$33,"Subscription")</f>
        <v>1339.2</v>
      </c>
      <c r="H8" s="39" t="n">
        <f aca="false">SUMIFS(Raw_Stripe!$H$6:$H$33,Raw_Stripe!$M$6:$M$33,"Jun-25",Raw_Stripe!$N$6:$N$33,"Subscription")</f>
        <v>24000</v>
      </c>
      <c r="I8" s="39" t="n">
        <f aca="false">SUMIFS(Raw_Stripe!$H$6:$H$33,Raw_Stripe!$M$6:$M$33,"Jul-25",Raw_Stripe!$N$6:$N$33,"Subscription")</f>
        <v>0</v>
      </c>
      <c r="J8" s="39" t="n">
        <f aca="false">SUMIFS(Raw_Stripe!$H$6:$H$33,Raw_Stripe!$M$6:$M$33,"Aug-25",Raw_Stripe!$N$6:$N$33,"Subscription")</f>
        <v>0</v>
      </c>
      <c r="K8" s="39" t="n">
        <f aca="false">SUMIFS(Raw_Stripe!$H$6:$H$33,Raw_Stripe!$M$6:$M$33,"Sep-25",Raw_Stripe!$N$6:$N$33,"Subscription")</f>
        <v>0</v>
      </c>
      <c r="L8" s="39" t="n">
        <f aca="false">SUMIFS(Raw_Stripe!$H$6:$H$33,Raw_Stripe!$M$6:$M$33,"Oct-25",Raw_Stripe!$N$6:$N$33,"Subscription")</f>
        <v>0</v>
      </c>
      <c r="M8" s="39" t="n">
        <f aca="false">SUMIFS(Raw_Stripe!$H$6:$H$33,Raw_Stripe!$M$6:$M$33,"Nov-25",Raw_Stripe!$N$6:$N$33,"Subscription")</f>
        <v>0</v>
      </c>
      <c r="N8" s="39" t="n">
        <f aca="false">SUMIFS(Raw_Stripe!$H$6:$H$33,Raw_Stripe!$M$6:$M$33,"Dec-25",Raw_Stripe!$N$6:$N$33,"Subscription")</f>
        <v>0</v>
      </c>
      <c r="O8" s="74" t="n">
        <f aca="false">SUM(C8:N8)</f>
        <v>42547</v>
      </c>
      <c r="P8" s="53" t="n">
        <f aca="false">IFERROR(O8/$O$10,0)</f>
        <v>0.313398252226703</v>
      </c>
      <c r="Q8" s="1"/>
      <c r="R8" s="1"/>
    </row>
    <row r="9" customFormat="false" ht="19.5" hidden="false" customHeight="true" outlineLevel="0" collapsed="false">
      <c r="A9" s="1"/>
      <c r="B9" s="71" t="s">
        <v>158</v>
      </c>
      <c r="C9" s="37" t="n">
        <f aca="false">SUMIFS(Raw_Stripe!$H$6:$H$33,Raw_Stripe!$M$6:$M$33,"Jan-25",Raw_Stripe!$N$6:$N$33,"Development")</f>
        <v>6800</v>
      </c>
      <c r="D9" s="37" t="n">
        <f aca="false">SUMIFS(Raw_Stripe!$H$6:$H$33,Raw_Stripe!$M$6:$M$33,"Feb-25",Raw_Stripe!$N$6:$N$33,"Development")</f>
        <v>12000</v>
      </c>
      <c r="E9" s="37" t="n">
        <f aca="false">SUMIFS(Raw_Stripe!$H$6:$H$33,Raw_Stripe!$M$6:$M$33,"Mar-25",Raw_Stripe!$N$6:$N$33,"Development")</f>
        <v>18086.85</v>
      </c>
      <c r="F9" s="37" t="n">
        <f aca="false">SUMIFS(Raw_Stripe!$H$6:$H$33,Raw_Stripe!$M$6:$M$33,"Apr-25",Raw_Stripe!$N$6:$N$33,"Development")</f>
        <v>0</v>
      </c>
      <c r="G9" s="37" t="n">
        <f aca="false">SUMIFS(Raw_Stripe!$H$6:$H$33,Raw_Stripe!$M$6:$M$33,"May-25",Raw_Stripe!$N$6:$N$33,"Development")</f>
        <v>8500</v>
      </c>
      <c r="H9" s="37" t="n">
        <f aca="false">SUMIFS(Raw_Stripe!$H$6:$H$33,Raw_Stripe!$M$6:$M$33,"Jun-25",Raw_Stripe!$N$6:$N$33,"Development")</f>
        <v>0</v>
      </c>
      <c r="I9" s="37" t="n">
        <f aca="false">SUMIFS(Raw_Stripe!$H$6:$H$33,Raw_Stripe!$M$6:$M$33,"Jul-25",Raw_Stripe!$N$6:$N$33,"Development")</f>
        <v>10050.75</v>
      </c>
      <c r="J9" s="37" t="n">
        <f aca="false">SUMIFS(Raw_Stripe!$H$6:$H$33,Raw_Stripe!$M$6:$M$33,"Aug-25",Raw_Stripe!$N$6:$N$33,"Development")</f>
        <v>0</v>
      </c>
      <c r="K9" s="37" t="n">
        <f aca="false">SUMIFS(Raw_Stripe!$H$6:$H$33,Raw_Stripe!$M$6:$M$33,"Sep-25",Raw_Stripe!$N$6:$N$33,"Development")</f>
        <v>11200</v>
      </c>
      <c r="L9" s="37" t="n">
        <f aca="false">SUMIFS(Raw_Stripe!$H$6:$H$33,Raw_Stripe!$M$6:$M$33,"Oct-25",Raw_Stripe!$N$6:$N$33,"Development")</f>
        <v>0</v>
      </c>
      <c r="M9" s="37" t="n">
        <f aca="false">SUMIFS(Raw_Stripe!$H$6:$H$33,Raw_Stripe!$M$6:$M$33,"Nov-25",Raw_Stripe!$N$6:$N$33,"Development")</f>
        <v>0</v>
      </c>
      <c r="N9" s="37" t="n">
        <f aca="false">SUMIFS(Raw_Stripe!$H$6:$H$33,Raw_Stripe!$M$6:$M$33,"Dec-25",Raw_Stripe!$N$6:$N$33,"Development")</f>
        <v>0</v>
      </c>
      <c r="O9" s="72" t="n">
        <f aca="false">SUM(C9:N9)</f>
        <v>66637.6</v>
      </c>
      <c r="P9" s="48" t="n">
        <f aca="false">IFERROR(O9/$O$10,0)</f>
        <v>0.490847941631187</v>
      </c>
      <c r="Q9" s="1"/>
      <c r="R9" s="1"/>
    </row>
    <row r="10" customFormat="false" ht="24" hidden="false" customHeight="true" outlineLevel="0" collapsed="false">
      <c r="A10" s="1"/>
      <c r="B10" s="40" t="s">
        <v>86</v>
      </c>
      <c r="C10" s="41" t="n">
        <f aca="false">SUM(C7:C9)</f>
        <v>24784.46</v>
      </c>
      <c r="D10" s="41" t="n">
        <f aca="false">SUM(D7:D9)</f>
        <v>16234.3</v>
      </c>
      <c r="E10" s="41" t="n">
        <f aca="false">SUM(E7:E9)</f>
        <v>23120.94</v>
      </c>
      <c r="F10" s="41" t="n">
        <f aca="false">SUM(F7:F9)</f>
        <v>3888.26</v>
      </c>
      <c r="G10" s="41" t="n">
        <f aca="false">SUM(G7:G9)</f>
        <v>11173.47</v>
      </c>
      <c r="H10" s="41" t="n">
        <f aca="false">SUM(H7:H9)</f>
        <v>31061.03</v>
      </c>
      <c r="I10" s="41" t="n">
        <f aca="false">SUM(I7:I9)</f>
        <v>11466.71</v>
      </c>
      <c r="J10" s="41" t="n">
        <f aca="false">SUM(J7:J9)</f>
        <v>2831</v>
      </c>
      <c r="K10" s="41" t="n">
        <f aca="false">SUM(K7:K9)</f>
        <v>11200</v>
      </c>
      <c r="L10" s="41" t="n">
        <f aca="false">SUM(L7:L9)</f>
        <v>0</v>
      </c>
      <c r="M10" s="41" t="n">
        <f aca="false">SUM(M7:M9)</f>
        <v>0</v>
      </c>
      <c r="N10" s="41" t="n">
        <f aca="false">SUM(N7:N9)</f>
        <v>0</v>
      </c>
      <c r="O10" s="41" t="n">
        <f aca="false">SUM(C10:N10)</f>
        <v>135760.17</v>
      </c>
      <c r="P10" s="67" t="n">
        <v>1</v>
      </c>
      <c r="Q10" s="1"/>
      <c r="R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customFormat="false" ht="21.75" hidden="false" customHeight="true" outlineLevel="0" collapsed="false">
      <c r="A12" s="1"/>
      <c r="B12" s="75" t="s">
        <v>159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1"/>
      <c r="R12" s="1"/>
    </row>
    <row r="13" customFormat="false" ht="19.5" hidden="false" customHeight="true" outlineLevel="0" collapsed="false">
      <c r="A13" s="1"/>
      <c r="B13" s="77" t="s">
        <v>160</v>
      </c>
      <c r="C13" s="78" t="n">
        <f aca="false">SUMIFS(Raw_Meta!$L$6:$L$28,Raw_Meta!$N$6:$N$28,"Jan-25")</f>
        <v>19700</v>
      </c>
      <c r="D13" s="78" t="n">
        <f aca="false">SUMIFS(Raw_Meta!$L$6:$L$28,Raw_Meta!$N$6:$N$28,"Feb-25")</f>
        <v>16300</v>
      </c>
      <c r="E13" s="78" t="n">
        <f aca="false">SUMIFS(Raw_Meta!$L$6:$L$28,Raw_Meta!$N$6:$N$28,"Mar-25")</f>
        <v>30300</v>
      </c>
      <c r="F13" s="78" t="n">
        <f aca="false">SUMIFS(Raw_Meta!$L$6:$L$28,Raw_Meta!$N$6:$N$28,"Apr-25")</f>
        <v>9300</v>
      </c>
      <c r="G13" s="78" t="n">
        <f aca="false">SUMIFS(Raw_Meta!$L$6:$L$28,Raw_Meta!$N$6:$N$28,"May-25")</f>
        <v>17300</v>
      </c>
      <c r="H13" s="78" t="n">
        <f aca="false">SUMIFS(Raw_Meta!$L$6:$L$28,Raw_Meta!$N$6:$N$28,"Jun-25")</f>
        <v>12400</v>
      </c>
      <c r="I13" s="78" t="n">
        <f aca="false">SUMIFS(Raw_Meta!$L$6:$L$28,Raw_Meta!$N$6:$N$28,"Jul-25")</f>
        <v>14000</v>
      </c>
      <c r="J13" s="78" t="n">
        <f aca="false">SUMIFS(Raw_Meta!$L$6:$L$28,Raw_Meta!$N$6:$N$28,"Aug-25")</f>
        <v>4500</v>
      </c>
      <c r="K13" s="78" t="n">
        <f aca="false">SUMIFS(Raw_Meta!$L$6:$L$28,Raw_Meta!$N$6:$N$28,"Sep-25")</f>
        <v>9800</v>
      </c>
      <c r="L13" s="78" t="n">
        <f aca="false">SUMIFS(Raw_Meta!$L$6:$L$28,Raw_Meta!$N$6:$N$28,"Oct-25")</f>
        <v>0</v>
      </c>
      <c r="M13" s="78" t="n">
        <f aca="false">SUMIFS(Raw_Meta!$L$6:$L$28,Raw_Meta!$N$6:$N$28,"Nov-25")</f>
        <v>0</v>
      </c>
      <c r="N13" s="78" t="n">
        <f aca="false">SUMIFS(Raw_Meta!$L$6:$L$28,Raw_Meta!$N$6:$N$28,"Dec-25")</f>
        <v>0</v>
      </c>
      <c r="O13" s="79" t="n">
        <f aca="false">SUM(C13:N13)</f>
        <v>133600</v>
      </c>
      <c r="P13" s="80"/>
      <c r="Q13" s="1"/>
      <c r="R13" s="1"/>
    </row>
    <row r="14" customFormat="false" ht="24" hidden="false" customHeight="true" outlineLevel="0" collapsed="false">
      <c r="A14" s="1"/>
      <c r="B14" s="40" t="s">
        <v>161</v>
      </c>
      <c r="C14" s="41" t="n">
        <f aca="false">C13</f>
        <v>19700</v>
      </c>
      <c r="D14" s="41" t="n">
        <f aca="false">D13</f>
        <v>16300</v>
      </c>
      <c r="E14" s="41" t="n">
        <f aca="false">E13</f>
        <v>30300</v>
      </c>
      <c r="F14" s="41" t="n">
        <f aca="false">F13</f>
        <v>9300</v>
      </c>
      <c r="G14" s="41" t="n">
        <f aca="false">G13</f>
        <v>17300</v>
      </c>
      <c r="H14" s="41" t="n">
        <f aca="false">H13</f>
        <v>12400</v>
      </c>
      <c r="I14" s="41" t="n">
        <f aca="false">I13</f>
        <v>14000</v>
      </c>
      <c r="J14" s="41" t="n">
        <f aca="false">J13</f>
        <v>4500</v>
      </c>
      <c r="K14" s="41" t="n">
        <f aca="false">K13</f>
        <v>9800</v>
      </c>
      <c r="L14" s="41" t="n">
        <f aca="false">L13</f>
        <v>0</v>
      </c>
      <c r="M14" s="41" t="n">
        <f aca="false">M13</f>
        <v>0</v>
      </c>
      <c r="N14" s="41" t="n">
        <f aca="false">N13</f>
        <v>0</v>
      </c>
      <c r="O14" s="41" t="n">
        <f aca="false">SUM(C14:N14)</f>
        <v>133600</v>
      </c>
      <c r="P14" s="67" t="n">
        <f aca="false">IFERROR(O14/$O$10,0)</f>
        <v>0.984088337544068</v>
      </c>
      <c r="Q14" s="1"/>
      <c r="R14" s="1"/>
    </row>
    <row r="15" customFormat="false" ht="24" hidden="false" customHeight="true" outlineLevel="0" collapsed="false">
      <c r="A15" s="1"/>
      <c r="B15" s="81" t="s">
        <v>162</v>
      </c>
      <c r="C15" s="82" t="n">
        <f aca="false">C10-C14</f>
        <v>5084.46</v>
      </c>
      <c r="D15" s="82" t="n">
        <f aca="false">D10-D14</f>
        <v>-65.7000000000007</v>
      </c>
      <c r="E15" s="82" t="n">
        <f aca="false">E10-E14</f>
        <v>-7179.06</v>
      </c>
      <c r="F15" s="82" t="n">
        <f aca="false">F10-F14</f>
        <v>-5411.74</v>
      </c>
      <c r="G15" s="82" t="n">
        <f aca="false">G10-G14</f>
        <v>-6126.53</v>
      </c>
      <c r="H15" s="82" t="n">
        <f aca="false">H10-H14</f>
        <v>18661.03</v>
      </c>
      <c r="I15" s="82" t="n">
        <f aca="false">I10-I14</f>
        <v>-2533.29</v>
      </c>
      <c r="J15" s="82" t="n">
        <f aca="false">J10-J14</f>
        <v>-1669</v>
      </c>
      <c r="K15" s="82" t="n">
        <f aca="false">K10-K14</f>
        <v>1400</v>
      </c>
      <c r="L15" s="82" t="n">
        <f aca="false">L10-L14</f>
        <v>0</v>
      </c>
      <c r="M15" s="82" t="n">
        <f aca="false">M10-M14</f>
        <v>0</v>
      </c>
      <c r="N15" s="82" t="n">
        <f aca="false">N10-N14</f>
        <v>0</v>
      </c>
      <c r="O15" s="82" t="n">
        <f aca="false">SUM(C15:N15)</f>
        <v>2160.17</v>
      </c>
      <c r="P15" s="83" t="n">
        <f aca="false">IFERROR(O15/$O$10,0)</f>
        <v>0.0159116624559324</v>
      </c>
      <c r="Q15" s="1"/>
      <c r="R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customFormat="false" ht="21.75" hidden="false" customHeight="true" outlineLevel="0" collapsed="false">
      <c r="A17" s="1"/>
      <c r="B17" s="75" t="s">
        <v>163</v>
      </c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1"/>
      <c r="R17" s="1"/>
    </row>
    <row r="18" customFormat="false" ht="19.5" hidden="false" customHeight="true" outlineLevel="0" collapsed="false">
      <c r="A18" s="1"/>
      <c r="B18" s="73" t="s">
        <v>164</v>
      </c>
      <c r="C18" s="39" t="n">
        <f aca="false">SUMIFS(Raw_Stripe!$I$6:$I$33,Raw_Stripe!$M$6:$M$33,"Jan-25")</f>
        <v>1088.4</v>
      </c>
      <c r="D18" s="39" t="n">
        <f aca="false">SUMIFS(Raw_Stripe!$I$6:$I$33,Raw_Stripe!$M$6:$M$33,"Feb-25")</f>
        <v>639.8</v>
      </c>
      <c r="E18" s="39" t="n">
        <f aca="false">SUMIFS(Raw_Stripe!$I$6:$I$33,Raw_Stripe!$M$6:$M$33,"Mar-25")</f>
        <v>1094.8</v>
      </c>
      <c r="F18" s="39" t="n">
        <f aca="false">SUMIFS(Raw_Stripe!$I$6:$I$33,Raw_Stripe!$M$6:$M$33,"Apr-25")</f>
        <v>256.1</v>
      </c>
      <c r="G18" s="39" t="n">
        <f aca="false">SUMIFS(Raw_Stripe!$I$6:$I$33,Raw_Stripe!$M$6:$M$33,"May-25")</f>
        <v>453</v>
      </c>
      <c r="H18" s="39" t="n">
        <f aca="false">SUMIFS(Raw_Stripe!$I$6:$I$33,Raw_Stripe!$M$6:$M$33,"Jun-25")</f>
        <v>1042.2</v>
      </c>
      <c r="I18" s="39" t="n">
        <f aca="false">SUMIFS(Raw_Stripe!$I$6:$I$33,Raw_Stripe!$M$6:$M$33,"Jul-25")</f>
        <v>568.3</v>
      </c>
      <c r="J18" s="39" t="n">
        <f aca="false">SUMIFS(Raw_Stripe!$I$6:$I$33,Raw_Stripe!$M$6:$M$33,"Aug-25")</f>
        <v>114.5</v>
      </c>
      <c r="K18" s="39" t="n">
        <f aca="false">SUMIFS(Raw_Stripe!$I$6:$I$33,Raw_Stripe!$M$6:$M$33,"Sep-25")</f>
        <v>325.2</v>
      </c>
      <c r="L18" s="39" t="n">
        <f aca="false">SUMIFS(Raw_Stripe!$I$6:$I$33,Raw_Stripe!$M$6:$M$33,"Oct-25")</f>
        <v>0</v>
      </c>
      <c r="M18" s="39" t="n">
        <f aca="false">SUMIFS(Raw_Stripe!$I$6:$I$33,Raw_Stripe!$M$6:$M$33,"Nov-25")</f>
        <v>0</v>
      </c>
      <c r="N18" s="39" t="n">
        <f aca="false">SUMIFS(Raw_Stripe!$I$6:$I$33,Raw_Stripe!$M$6:$M$33,"Dec-25")</f>
        <v>0</v>
      </c>
      <c r="O18" s="74" t="n">
        <f aca="false">SUM(C18:N18)</f>
        <v>5582.3</v>
      </c>
      <c r="P18" s="53" t="n">
        <f aca="false">IFERROR(O18/$O$10,0)</f>
        <v>0.0411188347804809</v>
      </c>
      <c r="Q18" s="1"/>
      <c r="R18" s="1"/>
    </row>
    <row r="19" customFormat="false" ht="19.5" hidden="false" customHeight="true" outlineLevel="0" collapsed="false">
      <c r="A19" s="1"/>
      <c r="B19" s="71" t="s">
        <v>165</v>
      </c>
      <c r="C19" s="37" t="n">
        <f aca="false">SUMIFS(Raw_Bank!$H$6:$H$26,Raw_Bank!$J$6:$J$26,"Jan-25",Raw_Bank!$E$6:$E$26,"&gt;0")</f>
        <v>-53.235</v>
      </c>
      <c r="D19" s="37" t="n">
        <f aca="false">SUMIFS(Raw_Bank!$H$6:$H$26,Raw_Bank!$J$6:$J$26,"Feb-25",Raw_Bank!$E$6:$E$26,"&gt;0")</f>
        <v>-27.23</v>
      </c>
      <c r="E19" s="37" t="n">
        <f aca="false">SUMIFS(Raw_Bank!$H$6:$H$26,Raw_Bank!$J$6:$J$26,"Mar-25",Raw_Bank!$E$6:$E$26,"&gt;0")</f>
        <v>-27.23</v>
      </c>
      <c r="F19" s="37" t="n">
        <f aca="false">SUMIFS(Raw_Bank!$H$6:$H$26,Raw_Bank!$J$6:$J$26,"Apr-25",Raw_Bank!$E$6:$E$26,"&gt;0")</f>
        <v>-27.23</v>
      </c>
      <c r="G19" s="37" t="n">
        <f aca="false">SUMIFS(Raw_Bank!$H$6:$H$26,Raw_Bank!$J$6:$J$26,"May-25",Raw_Bank!$E$6:$E$26,"&gt;0")</f>
        <v>0</v>
      </c>
      <c r="H19" s="37" t="n">
        <f aca="false">SUMIFS(Raw_Bank!$H$6:$H$26,Raw_Bank!$J$6:$J$26,"Jun-25",Raw_Bank!$E$6:$E$26,"&gt;0")</f>
        <v>-27.23</v>
      </c>
      <c r="I19" s="37" t="n">
        <f aca="false">SUMIFS(Raw_Bank!$H$6:$H$26,Raw_Bank!$J$6:$J$26,"Jul-25",Raw_Bank!$E$6:$E$26,"&gt;0")</f>
        <v>0</v>
      </c>
      <c r="J19" s="37" t="n">
        <f aca="false">SUMIFS(Raw_Bank!$H$6:$H$26,Raw_Bank!$J$6:$J$26,"Aug-25",Raw_Bank!$E$6:$E$26,"&gt;0")</f>
        <v>0</v>
      </c>
      <c r="K19" s="37" t="n">
        <f aca="false">SUMIFS(Raw_Bank!$H$6:$H$26,Raw_Bank!$J$6:$J$26,"Sep-25",Raw_Bank!$E$6:$E$26,"&gt;0")</f>
        <v>-27.23</v>
      </c>
      <c r="L19" s="37" t="n">
        <f aca="false">SUMIFS(Raw_Bank!$H$6:$H$26,Raw_Bank!$J$6:$J$26,"Oct-25",Raw_Bank!$E$6:$E$26,"&gt;0")</f>
        <v>0</v>
      </c>
      <c r="M19" s="37" t="n">
        <f aca="false">SUMIFS(Raw_Bank!$H$6:$H$26,Raw_Bank!$J$6:$J$26,"Nov-25",Raw_Bank!$E$6:$E$26,"&gt;0")</f>
        <v>0</v>
      </c>
      <c r="N19" s="37" t="n">
        <f aca="false">SUMIFS(Raw_Bank!$H$6:$H$26,Raw_Bank!$J$6:$J$26,"Dec-25",Raw_Bank!$E$6:$E$26,"&gt;0")</f>
        <v>0</v>
      </c>
      <c r="O19" s="72" t="n">
        <f aca="false">SUM(C19:N19)</f>
        <v>-189.385</v>
      </c>
      <c r="P19" s="48" t="n">
        <f aca="false">IFERROR(O19/$O$10,0)</f>
        <v>-0.00139499677998341</v>
      </c>
      <c r="Q19" s="1"/>
      <c r="R19" s="1"/>
    </row>
    <row r="20" customFormat="false" ht="19.5" hidden="false" customHeight="true" outlineLevel="0" collapsed="false">
      <c r="A20" s="1"/>
      <c r="B20" s="73" t="s">
        <v>166</v>
      </c>
      <c r="C20" s="39" t="n">
        <f aca="false">SUMIFS(Raw_Xero!$I$6:$I$30,Raw_Xero!$K$6:$K$30,"Jan-25",Raw_Xero!$C$6:$C$30,"5000")</f>
        <v>28599.5</v>
      </c>
      <c r="D20" s="39" t="n">
        <f aca="false">SUMIFS(Raw_Xero!$I$6:$I$30,Raw_Xero!$K$6:$K$30,"Feb-25",Raw_Xero!$C$6:$C$30,"5000")</f>
        <v>29887.1</v>
      </c>
      <c r="E20" s="39" t="n">
        <f aca="false">SUMIFS(Raw_Xero!$I$6:$I$30,Raw_Xero!$K$6:$K$30,"Mar-25",Raw_Xero!$C$6:$C$30,"5000")</f>
        <v>31447</v>
      </c>
      <c r="F20" s="39" t="n">
        <f aca="false">SUMIFS(Raw_Xero!$I$6:$I$30,Raw_Xero!$K$6:$K$30,"Apr-25",Raw_Xero!$C$6:$C$30,"5000")</f>
        <v>32747.1</v>
      </c>
      <c r="G20" s="39" t="n">
        <f aca="false">SUMIFS(Raw_Xero!$I$6:$I$30,Raw_Xero!$K$6:$K$30,"May-25",Raw_Xero!$C$6:$C$30,"5000")</f>
        <v>14976.5</v>
      </c>
      <c r="H20" s="39" t="n">
        <f aca="false">SUMIFS(Raw_Xero!$I$6:$I$30,Raw_Xero!$K$6:$K$30,"Jun-25",Raw_Xero!$C$6:$C$30,"5000")</f>
        <v>15793.4</v>
      </c>
      <c r="I20" s="39" t="n">
        <f aca="false">SUMIFS(Raw_Xero!$I$6:$I$30,Raw_Xero!$K$6:$K$30,"Jul-25",Raw_Xero!$C$6:$C$30,"5000")</f>
        <v>16882.6</v>
      </c>
      <c r="J20" s="39" t="n">
        <f aca="false">SUMIFS(Raw_Xero!$I$6:$I$30,Raw_Xero!$K$6:$K$30,"Aug-25",Raw_Xero!$C$6:$C$30,"5000")</f>
        <v>0</v>
      </c>
      <c r="K20" s="39" t="n">
        <f aca="false">SUMIFS(Raw_Xero!$I$6:$I$30,Raw_Xero!$K$6:$K$30,"Sep-25",Raw_Xero!$C$6:$C$30,"5000")</f>
        <v>0</v>
      </c>
      <c r="L20" s="39" t="n">
        <f aca="false">SUMIFS(Raw_Xero!$I$6:$I$30,Raw_Xero!$K$6:$K$30,"Oct-25",Raw_Xero!$C$6:$C$30,"5000")</f>
        <v>0</v>
      </c>
      <c r="M20" s="39" t="n">
        <f aca="false">SUMIFS(Raw_Xero!$I$6:$I$30,Raw_Xero!$K$6:$K$30,"Nov-25",Raw_Xero!$C$6:$C$30,"5000")</f>
        <v>0</v>
      </c>
      <c r="N20" s="39" t="n">
        <f aca="false">SUMIFS(Raw_Xero!$I$6:$I$30,Raw_Xero!$K$6:$K$30,"Dec-25",Raw_Xero!$C$6:$C$30,"5000")</f>
        <v>0</v>
      </c>
      <c r="O20" s="74" t="n">
        <f aca="false">SUM(C20:N20)</f>
        <v>170333.2</v>
      </c>
      <c r="P20" s="53" t="n">
        <f aca="false">IFERROR(O20/$O$10,0)</f>
        <v>1.25466254204013</v>
      </c>
      <c r="Q20" s="1"/>
      <c r="R20" s="1"/>
    </row>
    <row r="21" customFormat="false" ht="19.5" hidden="false" customHeight="true" outlineLevel="0" collapsed="false">
      <c r="A21" s="1"/>
      <c r="B21" s="71" t="s">
        <v>167</v>
      </c>
      <c r="C21" s="37" t="n">
        <f aca="false">SUMIFS(Raw_Xero!$I$6:$I$30,Raw_Xero!$K$6:$K$30,"Jan-25",Raw_Xero!$C$6:$C$30,"4000")</f>
        <v>9211.6</v>
      </c>
      <c r="D21" s="37" t="n">
        <f aca="false">SUMIFS(Raw_Xero!$I$6:$I$30,Raw_Xero!$K$6:$K$30,"Feb-25",Raw_Xero!$C$6:$C$30,"4000")</f>
        <v>9211.6</v>
      </c>
      <c r="E21" s="37" t="n">
        <f aca="false">SUMIFS(Raw_Xero!$I$6:$I$30,Raw_Xero!$K$6:$K$30,"Mar-25",Raw_Xero!$C$6:$C$30,"4000")</f>
        <v>9211.6</v>
      </c>
      <c r="F21" s="37" t="n">
        <f aca="false">SUMIFS(Raw_Xero!$I$6:$I$30,Raw_Xero!$K$6:$K$30,"Apr-25",Raw_Xero!$C$6:$C$30,"4000")</f>
        <v>9215.6</v>
      </c>
      <c r="G21" s="37" t="n">
        <f aca="false">SUMIFS(Raw_Xero!$I$6:$I$30,Raw_Xero!$K$6:$K$30,"May-25",Raw_Xero!$C$6:$C$30,"4000")</f>
        <v>3267.6</v>
      </c>
      <c r="H21" s="37" t="n">
        <f aca="false">SUMIFS(Raw_Xero!$I$6:$I$30,Raw_Xero!$K$6:$K$30,"Jun-25",Raw_Xero!$C$6:$C$30,"4000")</f>
        <v>3267.6</v>
      </c>
      <c r="I21" s="37" t="n">
        <f aca="false">SUMIFS(Raw_Xero!$I$6:$I$30,Raw_Xero!$K$6:$K$30,"Jul-25",Raw_Xero!$C$6:$C$30,"4000")</f>
        <v>3403.75</v>
      </c>
      <c r="J21" s="37" t="n">
        <f aca="false">SUMIFS(Raw_Xero!$I$6:$I$30,Raw_Xero!$K$6:$K$30,"Aug-25",Raw_Xero!$C$6:$C$30,"4000")</f>
        <v>0</v>
      </c>
      <c r="K21" s="37" t="n">
        <f aca="false">SUMIFS(Raw_Xero!$I$6:$I$30,Raw_Xero!$K$6:$K$30,"Sep-25",Raw_Xero!$C$6:$C$30,"4000")</f>
        <v>0</v>
      </c>
      <c r="L21" s="37" t="n">
        <f aca="false">SUMIFS(Raw_Xero!$I$6:$I$30,Raw_Xero!$K$6:$K$30,"Oct-25",Raw_Xero!$C$6:$C$30,"4000")</f>
        <v>0</v>
      </c>
      <c r="M21" s="37" t="n">
        <f aca="false">SUMIFS(Raw_Xero!$I$6:$I$30,Raw_Xero!$K$6:$K$30,"Nov-25",Raw_Xero!$C$6:$C$30,"4000")</f>
        <v>0</v>
      </c>
      <c r="N21" s="37" t="n">
        <f aca="false">SUMIFS(Raw_Xero!$I$6:$I$30,Raw_Xero!$K$6:$K$30,"Dec-25",Raw_Xero!$C$6:$C$30,"4000")</f>
        <v>0</v>
      </c>
      <c r="O21" s="72" t="n">
        <f aca="false">SUM(C21:N21)</f>
        <v>46789.35</v>
      </c>
      <c r="P21" s="48" t="n">
        <f aca="false">IFERROR(O21/$O$10,0)</f>
        <v>0.344647108205595</v>
      </c>
      <c r="Q21" s="1"/>
      <c r="R21" s="1"/>
    </row>
    <row r="22" customFormat="false" ht="19.5" hidden="false" customHeight="true" outlineLevel="0" collapsed="false">
      <c r="A22" s="1"/>
      <c r="B22" s="73" t="s">
        <v>168</v>
      </c>
      <c r="C22" s="39" t="n">
        <f aca="false">SUMIFS(Raw_Xero!$I$6:$I$30,Raw_Xero!$K$6:$K$30,"Jan-25",Raw_Xero!$C$6:$C$30,"6100")</f>
        <v>680.75</v>
      </c>
      <c r="D22" s="39" t="n">
        <f aca="false">SUMIFS(Raw_Xero!$I$6:$I$30,Raw_Xero!$K$6:$K$30,"Feb-25",Raw_Xero!$C$6:$C$30,"6100")</f>
        <v>707.98</v>
      </c>
      <c r="E22" s="39" t="n">
        <f aca="false">SUMIFS(Raw_Xero!$I$6:$I$30,Raw_Xero!$K$6:$K$30,"Mar-25",Raw_Xero!$C$6:$C$30,"6100")</f>
        <v>653.52</v>
      </c>
      <c r="F22" s="39" t="n">
        <f aca="false">SUMIFS(Raw_Xero!$I$6:$I$30,Raw_Xero!$K$6:$K$30,"Apr-25",Raw_Xero!$C$6:$C$30,"6100")</f>
        <v>0</v>
      </c>
      <c r="G22" s="39" t="n">
        <f aca="false">SUMIFS(Raw_Xero!$I$6:$I$30,Raw_Xero!$K$6:$K$30,"May-25",Raw_Xero!$C$6:$C$30,"6100")</f>
        <v>0</v>
      </c>
      <c r="H22" s="39" t="n">
        <f aca="false">SUMIFS(Raw_Xero!$I$6:$I$30,Raw_Xero!$K$6:$K$30,"Jun-25",Raw_Xero!$C$6:$C$30,"6100")</f>
        <v>0</v>
      </c>
      <c r="I22" s="39" t="n">
        <f aca="false">SUMIFS(Raw_Xero!$I$6:$I$30,Raw_Xero!$K$6:$K$30,"Jul-25",Raw_Xero!$C$6:$C$30,"6100")</f>
        <v>0</v>
      </c>
      <c r="J22" s="39" t="n">
        <f aca="false">SUMIFS(Raw_Xero!$I$6:$I$30,Raw_Xero!$K$6:$K$30,"Aug-25",Raw_Xero!$C$6:$C$30,"6100")</f>
        <v>0</v>
      </c>
      <c r="K22" s="39" t="n">
        <f aca="false">SUMIFS(Raw_Xero!$I$6:$I$30,Raw_Xero!$K$6:$K$30,"Sep-25",Raw_Xero!$C$6:$C$30,"6100")</f>
        <v>0</v>
      </c>
      <c r="L22" s="39" t="n">
        <f aca="false">SUMIFS(Raw_Xero!$I$6:$I$30,Raw_Xero!$K$6:$K$30,"Oct-25",Raw_Xero!$C$6:$C$30,"6100")</f>
        <v>0</v>
      </c>
      <c r="M22" s="39" t="n">
        <f aca="false">SUMIFS(Raw_Xero!$I$6:$I$30,Raw_Xero!$K$6:$K$30,"Nov-25",Raw_Xero!$C$6:$C$30,"6100")</f>
        <v>0</v>
      </c>
      <c r="N22" s="39" t="n">
        <f aca="false">SUMIFS(Raw_Xero!$I$6:$I$30,Raw_Xero!$K$6:$K$30,"Dec-25",Raw_Xero!$C$6:$C$30,"6100")</f>
        <v>0</v>
      </c>
      <c r="O22" s="74" t="n">
        <f aca="false">SUM(C22:N22)</f>
        <v>2042.25</v>
      </c>
      <c r="P22" s="53" t="n">
        <f aca="false">IFERROR(O22/$O$10,0)</f>
        <v>0.0150430719112977</v>
      </c>
      <c r="Q22" s="1"/>
      <c r="R22" s="1"/>
    </row>
    <row r="23" customFormat="false" ht="24" hidden="false" customHeight="true" outlineLevel="0" collapsed="false">
      <c r="A23" s="1"/>
      <c r="B23" s="40" t="s">
        <v>169</v>
      </c>
      <c r="C23" s="41" t="n">
        <f aca="false">SUM(C18:C22)</f>
        <v>39527.015</v>
      </c>
      <c r="D23" s="41" t="n">
        <f aca="false">SUM(D18:D22)</f>
        <v>40419.25</v>
      </c>
      <c r="E23" s="41" t="n">
        <f aca="false">SUM(E18:E22)</f>
        <v>42379.69</v>
      </c>
      <c r="F23" s="41" t="n">
        <f aca="false">SUM(F18:F22)</f>
        <v>42191.57</v>
      </c>
      <c r="G23" s="41" t="n">
        <f aca="false">SUM(G18:G22)</f>
        <v>18697.1</v>
      </c>
      <c r="H23" s="41" t="n">
        <f aca="false">SUM(H18:H22)</f>
        <v>20075.97</v>
      </c>
      <c r="I23" s="41" t="n">
        <f aca="false">SUM(I18:I22)</f>
        <v>20854.65</v>
      </c>
      <c r="J23" s="41" t="n">
        <f aca="false">SUM(J18:J22)</f>
        <v>114.5</v>
      </c>
      <c r="K23" s="41" t="n">
        <f aca="false">SUM(K18:K22)</f>
        <v>297.97</v>
      </c>
      <c r="L23" s="41" t="n">
        <f aca="false">SUM(L18:L22)</f>
        <v>0</v>
      </c>
      <c r="M23" s="41" t="n">
        <f aca="false">SUM(M18:M22)</f>
        <v>0</v>
      </c>
      <c r="N23" s="41" t="n">
        <f aca="false">SUM(N18:N22)</f>
        <v>0</v>
      </c>
      <c r="O23" s="41" t="n">
        <f aca="false">SUM(C23:N23)</f>
        <v>224557.715</v>
      </c>
      <c r="P23" s="67" t="n">
        <f aca="false">IFERROR(O23/$O$10,0)</f>
        <v>1.65407656015752</v>
      </c>
      <c r="Q23" s="1"/>
      <c r="R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customFormat="false" ht="27.75" hidden="false" customHeight="true" outlineLevel="0" collapsed="false">
      <c r="A25" s="1"/>
      <c r="B25" s="84" t="s">
        <v>170</v>
      </c>
      <c r="C25" s="85" t="n">
        <f aca="false">C15-C23</f>
        <v>-34442.555</v>
      </c>
      <c r="D25" s="85" t="n">
        <f aca="false">D15-D23</f>
        <v>-40484.95</v>
      </c>
      <c r="E25" s="85" t="n">
        <f aca="false">E15-E23</f>
        <v>-49558.75</v>
      </c>
      <c r="F25" s="85" t="n">
        <f aca="false">F15-F23</f>
        <v>-47603.31</v>
      </c>
      <c r="G25" s="85" t="n">
        <f aca="false">G15-G23</f>
        <v>-24823.63</v>
      </c>
      <c r="H25" s="85" t="n">
        <f aca="false">H15-H23</f>
        <v>-1414.94</v>
      </c>
      <c r="I25" s="85" t="n">
        <f aca="false">I15-I23</f>
        <v>-23387.94</v>
      </c>
      <c r="J25" s="85" t="n">
        <f aca="false">J15-J23</f>
        <v>-1783.5</v>
      </c>
      <c r="K25" s="85" t="n">
        <f aca="false">K15-K23</f>
        <v>1102.03</v>
      </c>
      <c r="L25" s="85" t="n">
        <f aca="false">L15-L23</f>
        <v>0</v>
      </c>
      <c r="M25" s="85" t="n">
        <f aca="false">M15-M23</f>
        <v>0</v>
      </c>
      <c r="N25" s="85" t="n">
        <f aca="false">N15-N23</f>
        <v>0</v>
      </c>
      <c r="O25" s="85" t="n">
        <f aca="false">SUM(C25:N25)</f>
        <v>-222397.545</v>
      </c>
      <c r="P25" s="86" t="n">
        <f aca="false">IFERROR(O25/$O$10,0)</f>
        <v>-1.63816489770159</v>
      </c>
      <c r="Q25" s="1"/>
      <c r="R25" s="1"/>
    </row>
    <row r="26" customFormat="false" ht="18" hidden="false" customHeight="true" outlineLevel="0" collapsed="false">
      <c r="A26" s="1"/>
      <c r="B26" s="42" t="s">
        <v>171</v>
      </c>
      <c r="C26" s="44" t="n">
        <f aca="false">IFERROR(C25/C10,0)</f>
        <v>-1.38968349522241</v>
      </c>
      <c r="D26" s="44" t="n">
        <f aca="false">IFERROR(D25/D10,0)</f>
        <v>-2.49379092415441</v>
      </c>
      <c r="E26" s="44" t="n">
        <f aca="false">IFERROR(E25/E10,0)</f>
        <v>-2.14345740268346</v>
      </c>
      <c r="F26" s="44" t="n">
        <f aca="false">IFERROR(F25/F10,0)</f>
        <v>-12.2428309835248</v>
      </c>
      <c r="G26" s="44" t="n">
        <f aca="false">IFERROR(G25/G10,0)</f>
        <v>-2.22165808831097</v>
      </c>
      <c r="H26" s="44" t="n">
        <f aca="false">IFERROR(H25/H10,0)</f>
        <v>-0.0455535441033346</v>
      </c>
      <c r="I26" s="44" t="n">
        <f aca="false">IFERROR(I25/I10,0)</f>
        <v>-2.03963822229742</v>
      </c>
      <c r="J26" s="44" t="n">
        <f aca="false">IFERROR(J25/J10,0)</f>
        <v>-0.629989403037796</v>
      </c>
      <c r="K26" s="44" t="n">
        <f aca="false">IFERROR(K25/K10,0)</f>
        <v>0.0983955357142857</v>
      </c>
      <c r="L26" s="44" t="n">
        <f aca="false">IFERROR(L25/L10,0)</f>
        <v>0</v>
      </c>
      <c r="M26" s="44" t="n">
        <f aca="false">IFERROR(M25/M10,0)</f>
        <v>0</v>
      </c>
      <c r="N26" s="44" t="n">
        <f aca="false">IFERROR(N25/N10,0)</f>
        <v>0</v>
      </c>
      <c r="O26" s="44" t="n">
        <f aca="false">IFERROR(O25/O10,0)</f>
        <v>-1.63816489770159</v>
      </c>
      <c r="P26" s="1"/>
      <c r="Q26" s="1"/>
      <c r="R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customFormat="false" ht="25.5" hidden="false" customHeight="true" outlineLevel="0" collapsed="false">
      <c r="A29" s="1"/>
      <c r="B29" s="10" t="s">
        <v>172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"/>
      <c r="R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</sheetData>
  <mergeCells count="4">
    <mergeCell ref="B2:P2"/>
    <mergeCell ref="B3:P3"/>
    <mergeCell ref="B5:P5"/>
    <mergeCell ref="B29:P29"/>
  </mergeCells>
  <conditionalFormatting sqref="C25:N25">
    <cfRule type="cellIs" priority="2" operator="greaterThan" aboveAverage="0" equalAverage="0" bottom="0" percent="0" rank="0" text="" dxfId="3">
      <formula>0</formula>
    </cfRule>
    <cfRule type="cellIs" priority="3" operator="lessThan" aboveAverage="0" equalAverage="0" bottom="0" percent="0" rank="0" text="" dxfId="4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0A6"/>
    <pageSetUpPr fitToPage="false"/>
  </sheetPr>
  <dimension ref="A1:J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7.5" hidden="false" customHeight="true" outlineLevel="0" collapsed="false">
      <c r="A2" s="1"/>
      <c r="B2" s="2" t="s">
        <v>173</v>
      </c>
      <c r="C2" s="2"/>
      <c r="D2" s="2"/>
      <c r="E2" s="2"/>
      <c r="F2" s="1"/>
      <c r="G2" s="1"/>
      <c r="H2" s="1"/>
      <c r="I2" s="1"/>
      <c r="J2" s="1"/>
    </row>
    <row r="3" customFormat="false" ht="18" hidden="false" customHeight="true" outlineLevel="0" collapsed="false">
      <c r="A3" s="1"/>
      <c r="B3" s="3" t="s">
        <v>174</v>
      </c>
      <c r="C3" s="3"/>
      <c r="D3" s="3"/>
      <c r="E3" s="3"/>
      <c r="F3" s="1"/>
      <c r="G3" s="1"/>
      <c r="H3" s="1"/>
      <c r="I3" s="1"/>
      <c r="J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</row>
    <row r="5" customFormat="false" ht="25.5" hidden="false" customHeight="true" outlineLevel="0" collapsed="false">
      <c r="A5" s="1"/>
      <c r="B5" s="5" t="s">
        <v>175</v>
      </c>
      <c r="C5" s="5"/>
      <c r="D5" s="5"/>
      <c r="E5" s="5"/>
      <c r="F5" s="1"/>
      <c r="G5" s="1"/>
      <c r="H5" s="1"/>
      <c r="I5" s="1"/>
      <c r="J5" s="1"/>
    </row>
    <row r="6" customFormat="false" ht="25.5" hidden="false" customHeight="true" outlineLevel="0" collapsed="false">
      <c r="A6" s="1"/>
      <c r="B6" s="87" t="s">
        <v>176</v>
      </c>
      <c r="C6" s="87" t="s">
        <v>177</v>
      </c>
      <c r="D6" s="87" t="s">
        <v>178</v>
      </c>
      <c r="E6" s="87" t="s">
        <v>179</v>
      </c>
      <c r="F6" s="1"/>
      <c r="G6" s="1"/>
      <c r="H6" s="1"/>
      <c r="I6" s="1"/>
      <c r="J6" s="1"/>
    </row>
    <row r="7" customFormat="false" ht="31.5" hidden="false" customHeight="true" outlineLevel="0" collapsed="false">
      <c r="A7" s="1"/>
      <c r="B7" s="88" t="s">
        <v>29</v>
      </c>
      <c r="C7" s="89" t="s">
        <v>180</v>
      </c>
      <c r="D7" s="90" t="s">
        <v>181</v>
      </c>
      <c r="E7" s="91" t="s">
        <v>182</v>
      </c>
      <c r="F7" s="1"/>
      <c r="G7" s="1"/>
      <c r="H7" s="1"/>
      <c r="I7" s="1"/>
      <c r="J7" s="1"/>
    </row>
    <row r="8" customFormat="false" ht="31.5" hidden="false" customHeight="true" outlineLevel="0" collapsed="false">
      <c r="A8" s="1"/>
      <c r="B8" s="88" t="s">
        <v>29</v>
      </c>
      <c r="C8" s="89" t="s">
        <v>183</v>
      </c>
      <c r="D8" s="90" t="s">
        <v>184</v>
      </c>
      <c r="E8" s="91" t="s">
        <v>185</v>
      </c>
      <c r="F8" s="1"/>
      <c r="G8" s="1"/>
      <c r="H8" s="1"/>
      <c r="I8" s="1"/>
      <c r="J8" s="1"/>
    </row>
    <row r="9" customFormat="false" ht="31.5" hidden="false" customHeight="true" outlineLevel="0" collapsed="false">
      <c r="A9" s="1"/>
      <c r="B9" s="88" t="s">
        <v>29</v>
      </c>
      <c r="C9" s="89" t="s">
        <v>186</v>
      </c>
      <c r="D9" s="90" t="s">
        <v>187</v>
      </c>
      <c r="E9" s="91" t="s">
        <v>188</v>
      </c>
      <c r="F9" s="1"/>
      <c r="G9" s="1"/>
      <c r="H9" s="1"/>
      <c r="I9" s="1"/>
      <c r="J9" s="1"/>
    </row>
    <row r="10" customFormat="false" ht="31.5" hidden="false" customHeight="true" outlineLevel="0" collapsed="false">
      <c r="A10" s="1"/>
      <c r="B10" s="88" t="s">
        <v>29</v>
      </c>
      <c r="C10" s="89" t="s">
        <v>189</v>
      </c>
      <c r="D10" s="90" t="s">
        <v>190</v>
      </c>
      <c r="E10" s="91" t="s">
        <v>191</v>
      </c>
      <c r="F10" s="1"/>
      <c r="G10" s="1"/>
      <c r="H10" s="1"/>
      <c r="I10" s="1"/>
      <c r="J10" s="1"/>
    </row>
    <row r="11" customFormat="false" ht="31.5" hidden="false" customHeight="true" outlineLevel="0" collapsed="false">
      <c r="A11" s="1"/>
      <c r="B11" s="92" t="s">
        <v>35</v>
      </c>
      <c r="C11" s="92" t="s">
        <v>192</v>
      </c>
      <c r="D11" s="93" t="s">
        <v>193</v>
      </c>
      <c r="E11" s="93" t="s">
        <v>194</v>
      </c>
      <c r="F11" s="1"/>
      <c r="G11" s="1"/>
      <c r="H11" s="1"/>
      <c r="I11" s="1"/>
      <c r="J11" s="1"/>
    </row>
    <row r="12" customFormat="false" ht="31.5" hidden="false" customHeight="true" outlineLevel="0" collapsed="false">
      <c r="A12" s="1"/>
      <c r="B12" s="92" t="s">
        <v>35</v>
      </c>
      <c r="C12" s="92" t="s">
        <v>195</v>
      </c>
      <c r="D12" s="93" t="s">
        <v>196</v>
      </c>
      <c r="E12" s="93" t="s">
        <v>197</v>
      </c>
      <c r="F12" s="1"/>
      <c r="G12" s="1"/>
      <c r="H12" s="1"/>
      <c r="I12" s="1"/>
      <c r="J12" s="1"/>
    </row>
    <row r="13" customFormat="false" ht="31.5" hidden="false" customHeight="true" outlineLevel="0" collapsed="false">
      <c r="A13" s="1"/>
      <c r="B13" s="88" t="s">
        <v>9</v>
      </c>
      <c r="C13" s="89" t="s">
        <v>198</v>
      </c>
      <c r="D13" s="90" t="s">
        <v>199</v>
      </c>
      <c r="E13" s="91" t="s">
        <v>200</v>
      </c>
      <c r="F13" s="1"/>
      <c r="G13" s="1"/>
      <c r="H13" s="1"/>
      <c r="I13" s="1"/>
      <c r="J13" s="1"/>
    </row>
    <row r="14" customFormat="false" ht="31.5" hidden="false" customHeight="true" outlineLevel="0" collapsed="false">
      <c r="A14" s="1"/>
      <c r="B14" s="88" t="s">
        <v>9</v>
      </c>
      <c r="C14" s="89" t="s">
        <v>201</v>
      </c>
      <c r="D14" s="90" t="s">
        <v>202</v>
      </c>
      <c r="E14" s="91" t="s">
        <v>203</v>
      </c>
      <c r="F14" s="1"/>
      <c r="G14" s="1"/>
      <c r="H14" s="1"/>
      <c r="I14" s="1"/>
      <c r="J14" s="1"/>
    </row>
    <row r="15" customFormat="false" ht="31.5" hidden="false" customHeight="true" outlineLevel="0" collapsed="false">
      <c r="A15" s="1"/>
      <c r="B15" s="88" t="s">
        <v>37</v>
      </c>
      <c r="C15" s="89" t="s">
        <v>204</v>
      </c>
      <c r="D15" s="90" t="s">
        <v>205</v>
      </c>
      <c r="E15" s="91" t="s">
        <v>206</v>
      </c>
      <c r="F15" s="1"/>
      <c r="G15" s="1"/>
      <c r="H15" s="1"/>
      <c r="I15" s="1"/>
      <c r="J15" s="1"/>
    </row>
    <row r="16" customFormat="false" ht="31.5" hidden="false" customHeight="true" outlineLevel="0" collapsed="false">
      <c r="A16" s="1"/>
      <c r="B16" s="88" t="s">
        <v>37</v>
      </c>
      <c r="C16" s="89" t="s">
        <v>207</v>
      </c>
      <c r="D16" s="90" t="s">
        <v>208</v>
      </c>
      <c r="E16" s="91" t="s">
        <v>209</v>
      </c>
      <c r="F16" s="1"/>
      <c r="G16" s="1"/>
      <c r="H16" s="1"/>
      <c r="I16" s="1"/>
      <c r="J16" s="1"/>
    </row>
    <row r="17" customFormat="false" ht="31.5" hidden="false" customHeight="true" outlineLevel="0" collapsed="false">
      <c r="A17" s="1"/>
      <c r="B17" s="88" t="s">
        <v>37</v>
      </c>
      <c r="C17" s="89" t="s">
        <v>210</v>
      </c>
      <c r="D17" s="90" t="s">
        <v>211</v>
      </c>
      <c r="E17" s="91" t="s">
        <v>212</v>
      </c>
      <c r="F17" s="1"/>
      <c r="G17" s="1"/>
      <c r="H17" s="1"/>
      <c r="I17" s="1"/>
      <c r="J17" s="1"/>
    </row>
    <row r="18" customFormat="false" ht="31.5" hidden="false" customHeight="true" outlineLevel="0" collapsed="false">
      <c r="A18" s="1"/>
      <c r="B18" s="88" t="s">
        <v>37</v>
      </c>
      <c r="C18" s="89" t="s">
        <v>213</v>
      </c>
      <c r="D18" s="90" t="s">
        <v>214</v>
      </c>
      <c r="E18" s="91" t="s">
        <v>215</v>
      </c>
      <c r="F18" s="1"/>
      <c r="G18" s="1"/>
      <c r="H18" s="1"/>
      <c r="I18" s="1"/>
      <c r="J18" s="1"/>
    </row>
    <row r="19" customFormat="false" ht="31.5" hidden="false" customHeight="true" outlineLevel="0" collapsed="false">
      <c r="A19" s="1"/>
      <c r="B19" s="88" t="s">
        <v>15</v>
      </c>
      <c r="C19" s="89" t="s">
        <v>216</v>
      </c>
      <c r="D19" s="90" t="s">
        <v>217</v>
      </c>
      <c r="E19" s="91" t="s">
        <v>218</v>
      </c>
      <c r="F19" s="1"/>
      <c r="G19" s="1"/>
      <c r="H19" s="1"/>
      <c r="I19" s="1"/>
      <c r="J19" s="1"/>
    </row>
    <row r="20" customFormat="false" ht="31.5" hidden="false" customHeight="true" outlineLevel="0" collapsed="false">
      <c r="A20" s="1"/>
      <c r="B20" s="88" t="s">
        <v>15</v>
      </c>
      <c r="C20" s="89" t="s">
        <v>219</v>
      </c>
      <c r="D20" s="90" t="s">
        <v>220</v>
      </c>
      <c r="E20" s="91" t="s">
        <v>221</v>
      </c>
      <c r="F20" s="1"/>
      <c r="G20" s="1"/>
      <c r="H20" s="1"/>
      <c r="I20" s="1"/>
      <c r="J20" s="1"/>
    </row>
    <row r="21" customFormat="false" ht="31.5" hidden="false" customHeight="true" outlineLevel="0" collapsed="false">
      <c r="A21" s="1"/>
      <c r="B21" s="88" t="s">
        <v>15</v>
      </c>
      <c r="C21" s="89" t="s">
        <v>222</v>
      </c>
      <c r="D21" s="90" t="s">
        <v>223</v>
      </c>
      <c r="E21" s="91" t="s">
        <v>224</v>
      </c>
      <c r="F21" s="1"/>
      <c r="G21" s="1"/>
      <c r="H21" s="1"/>
      <c r="I21" s="1"/>
      <c r="J21" s="1"/>
    </row>
    <row r="22" customFormat="false" ht="31.5" hidden="false" customHeight="true" outlineLevel="0" collapsed="false">
      <c r="A22" s="1"/>
      <c r="B22" s="88" t="s">
        <v>15</v>
      </c>
      <c r="C22" s="89" t="s">
        <v>225</v>
      </c>
      <c r="D22" s="90" t="s">
        <v>226</v>
      </c>
      <c r="E22" s="91" t="s">
        <v>227</v>
      </c>
      <c r="F22" s="1"/>
      <c r="G22" s="1"/>
      <c r="H22" s="1"/>
      <c r="I22" s="1"/>
      <c r="J22" s="1"/>
    </row>
    <row r="23" customFormat="false" ht="31.5" hidden="false" customHeight="true" outlineLevel="0" collapsed="false">
      <c r="A23" s="1"/>
      <c r="B23" s="88" t="s">
        <v>15</v>
      </c>
      <c r="C23" s="89" t="s">
        <v>228</v>
      </c>
      <c r="D23" s="90" t="s">
        <v>229</v>
      </c>
      <c r="E23" s="91" t="s">
        <v>230</v>
      </c>
      <c r="F23" s="1"/>
      <c r="G23" s="1"/>
      <c r="H23" s="1"/>
      <c r="I23" s="1"/>
      <c r="J23" s="1"/>
    </row>
    <row r="24" customFormat="false" ht="31.5" hidden="false" customHeight="true" outlineLevel="0" collapsed="false">
      <c r="A24" s="1"/>
      <c r="B24" s="92" t="s">
        <v>40</v>
      </c>
      <c r="C24" s="92" t="s">
        <v>216</v>
      </c>
      <c r="D24" s="93" t="s">
        <v>231</v>
      </c>
      <c r="E24" s="93" t="s">
        <v>232</v>
      </c>
      <c r="F24" s="1"/>
      <c r="G24" s="1"/>
      <c r="H24" s="1"/>
      <c r="I24" s="1"/>
      <c r="J24" s="1"/>
    </row>
    <row r="25" customFormat="false" ht="31.5" hidden="false" customHeight="true" outlineLevel="0" collapsed="false">
      <c r="A25" s="1"/>
      <c r="B25" s="88" t="s">
        <v>40</v>
      </c>
      <c r="C25" s="89" t="s">
        <v>219</v>
      </c>
      <c r="D25" s="90" t="s">
        <v>233</v>
      </c>
      <c r="E25" s="91" t="s">
        <v>234</v>
      </c>
      <c r="F25" s="1"/>
      <c r="G25" s="1"/>
      <c r="H25" s="1"/>
      <c r="I25" s="1"/>
      <c r="J25" s="1"/>
    </row>
    <row r="26" customFormat="false" ht="31.5" hidden="false" customHeight="true" outlineLevel="0" collapsed="false">
      <c r="A26" s="1"/>
      <c r="B26" s="88" t="s">
        <v>40</v>
      </c>
      <c r="C26" s="89" t="s">
        <v>222</v>
      </c>
      <c r="D26" s="90" t="s">
        <v>235</v>
      </c>
      <c r="E26" s="91" t="s">
        <v>236</v>
      </c>
      <c r="F26" s="1"/>
      <c r="G26" s="1"/>
      <c r="H26" s="1"/>
      <c r="I26" s="1"/>
      <c r="J26" s="1"/>
    </row>
    <row r="27" customFormat="false" ht="31.5" hidden="false" customHeight="true" outlineLevel="0" collapsed="false">
      <c r="A27" s="1"/>
      <c r="B27" s="92" t="s">
        <v>40</v>
      </c>
      <c r="C27" s="92" t="s">
        <v>225</v>
      </c>
      <c r="D27" s="93" t="s">
        <v>237</v>
      </c>
      <c r="E27" s="93" t="s">
        <v>238</v>
      </c>
      <c r="F27" s="1"/>
      <c r="G27" s="1"/>
      <c r="H27" s="1"/>
      <c r="I27" s="1"/>
      <c r="J27" s="1"/>
    </row>
    <row r="28" customFormat="false" ht="31.5" hidden="false" customHeight="true" outlineLevel="0" collapsed="false">
      <c r="A28" s="1"/>
      <c r="B28" s="88" t="s">
        <v>40</v>
      </c>
      <c r="C28" s="89" t="s">
        <v>239</v>
      </c>
      <c r="D28" s="90" t="s">
        <v>240</v>
      </c>
      <c r="E28" s="91" t="s">
        <v>241</v>
      </c>
      <c r="F28" s="1"/>
      <c r="G28" s="1"/>
      <c r="H28" s="1"/>
      <c r="I28" s="1"/>
      <c r="J28" s="1"/>
    </row>
    <row r="29" customFormat="false" ht="31.5" hidden="false" customHeight="true" outlineLevel="0" collapsed="false">
      <c r="A29" s="1"/>
      <c r="B29" s="88" t="s">
        <v>42</v>
      </c>
      <c r="C29" s="89" t="s">
        <v>204</v>
      </c>
      <c r="D29" s="90" t="s">
        <v>205</v>
      </c>
      <c r="E29" s="91" t="s">
        <v>242</v>
      </c>
      <c r="F29" s="1"/>
      <c r="G29" s="1"/>
      <c r="H29" s="1"/>
      <c r="I29" s="1"/>
      <c r="J29" s="1"/>
    </row>
    <row r="30" customFormat="false" ht="31.5" hidden="false" customHeight="true" outlineLevel="0" collapsed="false">
      <c r="A30" s="1"/>
      <c r="B30" s="92" t="s">
        <v>42</v>
      </c>
      <c r="C30" s="92" t="s">
        <v>243</v>
      </c>
      <c r="D30" s="93" t="s">
        <v>244</v>
      </c>
      <c r="E30" s="93" t="s">
        <v>245</v>
      </c>
      <c r="F30" s="1"/>
      <c r="G30" s="1"/>
      <c r="H30" s="1"/>
      <c r="I30" s="1"/>
      <c r="J30" s="1"/>
    </row>
    <row r="31" customFormat="false" ht="31.5" hidden="false" customHeight="true" outlineLevel="0" collapsed="false">
      <c r="A31" s="1"/>
      <c r="B31" s="88" t="s">
        <v>42</v>
      </c>
      <c r="C31" s="89" t="s">
        <v>246</v>
      </c>
      <c r="D31" s="90" t="s">
        <v>247</v>
      </c>
      <c r="E31" s="91" t="s">
        <v>248</v>
      </c>
      <c r="F31" s="1"/>
      <c r="G31" s="1"/>
      <c r="H31" s="1"/>
      <c r="I31" s="1"/>
      <c r="J31" s="1"/>
    </row>
    <row r="32" customFormat="false" ht="31.5" hidden="false" customHeight="true" outlineLevel="0" collapsed="false">
      <c r="A32" s="1"/>
      <c r="B32" s="88" t="s">
        <v>42</v>
      </c>
      <c r="C32" s="89" t="s">
        <v>249</v>
      </c>
      <c r="D32" s="90" t="s">
        <v>250</v>
      </c>
      <c r="E32" s="91" t="s">
        <v>251</v>
      </c>
      <c r="F32" s="1"/>
      <c r="G32" s="1"/>
      <c r="H32" s="1"/>
      <c r="I32" s="1"/>
      <c r="J32" s="1"/>
    </row>
    <row r="33" customFormat="false" ht="31.5" hidden="false" customHeight="true" outlineLevel="0" collapsed="false">
      <c r="A33" s="1"/>
      <c r="B33" s="88" t="s">
        <v>42</v>
      </c>
      <c r="C33" s="89" t="s">
        <v>252</v>
      </c>
      <c r="D33" s="90" t="s">
        <v>253</v>
      </c>
      <c r="E33" s="91" t="s">
        <v>254</v>
      </c>
      <c r="F33" s="1"/>
      <c r="G33" s="1"/>
      <c r="H33" s="1"/>
      <c r="I33" s="1"/>
      <c r="J33" s="1"/>
    </row>
    <row r="34" customFormat="false" ht="31.5" hidden="false" customHeight="true" outlineLevel="0" collapsed="false">
      <c r="A34" s="1"/>
      <c r="B34" s="88" t="s">
        <v>42</v>
      </c>
      <c r="C34" s="89" t="s">
        <v>255</v>
      </c>
      <c r="D34" s="90" t="s">
        <v>256</v>
      </c>
      <c r="E34" s="91" t="s">
        <v>257</v>
      </c>
      <c r="F34" s="1"/>
      <c r="G34" s="1"/>
      <c r="H34" s="1"/>
      <c r="I34" s="1"/>
      <c r="J34" s="1"/>
    </row>
    <row r="35" customFormat="false" ht="31.5" hidden="false" customHeight="true" outlineLevel="0" collapsed="false">
      <c r="A35" s="1"/>
      <c r="B35" s="88" t="s">
        <v>42</v>
      </c>
      <c r="C35" s="89" t="s">
        <v>258</v>
      </c>
      <c r="D35" s="90" t="s">
        <v>259</v>
      </c>
      <c r="E35" s="91" t="s">
        <v>260</v>
      </c>
      <c r="F35" s="1"/>
      <c r="G35" s="1"/>
      <c r="H35" s="1"/>
      <c r="I35" s="1"/>
      <c r="J35" s="1"/>
    </row>
    <row r="36" customFormat="false" ht="31.5" hidden="false" customHeight="true" outlineLevel="0" collapsed="false">
      <c r="A36" s="1"/>
      <c r="B36" s="88" t="s">
        <v>42</v>
      </c>
      <c r="C36" s="89" t="s">
        <v>261</v>
      </c>
      <c r="D36" s="90" t="s">
        <v>262</v>
      </c>
      <c r="E36" s="91" t="s">
        <v>263</v>
      </c>
      <c r="F36" s="1"/>
      <c r="G36" s="1"/>
      <c r="H36" s="1"/>
      <c r="I36" s="1"/>
      <c r="J36" s="1"/>
    </row>
    <row r="37" customFormat="false" ht="31.5" hidden="false" customHeight="true" outlineLevel="0" collapsed="false">
      <c r="A37" s="1"/>
      <c r="B37" s="88" t="s">
        <v>18</v>
      </c>
      <c r="C37" s="89" t="s">
        <v>264</v>
      </c>
      <c r="D37" s="90" t="s">
        <v>265</v>
      </c>
      <c r="E37" s="91" t="s">
        <v>266</v>
      </c>
      <c r="F37" s="1"/>
      <c r="G37" s="1"/>
      <c r="H37" s="1"/>
      <c r="I37" s="1"/>
      <c r="J37" s="1"/>
    </row>
    <row r="38" customFormat="false" ht="31.5" hidden="false" customHeight="true" outlineLevel="0" collapsed="false">
      <c r="A38" s="1"/>
      <c r="B38" s="88" t="s">
        <v>18</v>
      </c>
      <c r="C38" s="89" t="s">
        <v>267</v>
      </c>
      <c r="D38" s="90" t="s">
        <v>268</v>
      </c>
      <c r="E38" s="91" t="s">
        <v>269</v>
      </c>
      <c r="F38" s="1"/>
      <c r="G38" s="1"/>
      <c r="H38" s="1"/>
      <c r="I38" s="1"/>
      <c r="J38" s="1"/>
    </row>
    <row r="39" customFormat="false" ht="31.5" hidden="false" customHeight="true" outlineLevel="0" collapsed="false">
      <c r="A39" s="1"/>
      <c r="B39" s="88" t="s">
        <v>18</v>
      </c>
      <c r="C39" s="89" t="s">
        <v>270</v>
      </c>
      <c r="D39" s="90" t="s">
        <v>271</v>
      </c>
      <c r="E39" s="91" t="s">
        <v>272</v>
      </c>
      <c r="F39" s="1"/>
      <c r="G39" s="1"/>
      <c r="H39" s="1"/>
      <c r="I39" s="1"/>
      <c r="J39" s="1"/>
    </row>
    <row r="40" customFormat="false" ht="31.5" hidden="false" customHeight="true" outlineLevel="0" collapsed="false">
      <c r="A40" s="1"/>
      <c r="B40" s="88" t="s">
        <v>18</v>
      </c>
      <c r="C40" s="89" t="s">
        <v>273</v>
      </c>
      <c r="D40" s="90" t="s">
        <v>274</v>
      </c>
      <c r="E40" s="91" t="s">
        <v>275</v>
      </c>
      <c r="F40" s="1"/>
      <c r="G40" s="1"/>
      <c r="H40" s="1"/>
      <c r="I40" s="1"/>
      <c r="J40" s="1"/>
    </row>
    <row r="41" customFormat="false" ht="31.5" hidden="false" customHeight="true" outlineLevel="0" collapsed="false">
      <c r="A41" s="1"/>
      <c r="B41" s="88" t="s">
        <v>18</v>
      </c>
      <c r="C41" s="89" t="s">
        <v>276</v>
      </c>
      <c r="D41" s="90" t="s">
        <v>277</v>
      </c>
      <c r="E41" s="91" t="s">
        <v>278</v>
      </c>
      <c r="F41" s="1"/>
      <c r="G41" s="1"/>
      <c r="H41" s="1"/>
      <c r="I41" s="1"/>
      <c r="J41" s="1"/>
    </row>
    <row r="42" customFormat="false" ht="31.5" hidden="false" customHeight="true" outlineLevel="0" collapsed="false">
      <c r="A42" s="1"/>
      <c r="B42" s="92" t="s">
        <v>18</v>
      </c>
      <c r="C42" s="92" t="s">
        <v>279</v>
      </c>
      <c r="D42" s="93" t="s">
        <v>280</v>
      </c>
      <c r="E42" s="93" t="s">
        <v>281</v>
      </c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31.5" hidden="false" customHeight="true" outlineLevel="0" collapsed="false">
      <c r="A45" s="1"/>
      <c r="B45" s="94" t="s">
        <v>282</v>
      </c>
      <c r="C45" s="94"/>
      <c r="D45" s="94"/>
      <c r="E45" s="94"/>
      <c r="F45" s="1"/>
      <c r="G45" s="1"/>
      <c r="H45" s="1"/>
      <c r="I45" s="1"/>
      <c r="J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</sheetData>
  <mergeCells count="4">
    <mergeCell ref="B2:E2"/>
    <mergeCell ref="B3:E3"/>
    <mergeCell ref="B5:E5"/>
    <mergeCell ref="B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D924"/>
    <pageSetUpPr fitToPage="false"/>
  </sheetPr>
  <dimension ref="A1:P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2" min="10" style="0" width="14"/>
    <col collapsed="false" customWidth="true" hidden="false" outlineLevel="0" max="13" min="13" style="0" width="16"/>
    <col collapsed="false" customWidth="true" hidden="false" outlineLevel="0" max="15" min="14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7.5" hidden="false" customHeight="true" outlineLevel="0" collapsed="false">
      <c r="A2" s="1"/>
      <c r="B2" s="2" t="s">
        <v>283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1"/>
    </row>
    <row r="3" customFormat="false" ht="18" hidden="false" customHeight="true" outlineLevel="0" collapsed="false">
      <c r="A3" s="1"/>
      <c r="B3" s="3" t="s">
        <v>284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27.75" hidden="false" customHeight="true" outlineLevel="0" collapsed="false">
      <c r="A5" s="1"/>
      <c r="B5" s="23" t="s">
        <v>285</v>
      </c>
      <c r="C5" s="23" t="s">
        <v>286</v>
      </c>
      <c r="D5" s="23" t="s">
        <v>93</v>
      </c>
      <c r="E5" s="23" t="s">
        <v>179</v>
      </c>
      <c r="F5" s="23" t="s">
        <v>287</v>
      </c>
      <c r="G5" s="23" t="s">
        <v>98</v>
      </c>
      <c r="H5" s="23" t="s">
        <v>288</v>
      </c>
      <c r="I5" s="23" t="s">
        <v>289</v>
      </c>
      <c r="J5" s="23" t="s">
        <v>290</v>
      </c>
      <c r="K5" s="23" t="s">
        <v>291</v>
      </c>
      <c r="L5" s="23" t="s">
        <v>292</v>
      </c>
      <c r="M5" s="23" t="s">
        <v>57</v>
      </c>
      <c r="N5" s="23" t="s">
        <v>81</v>
      </c>
      <c r="O5" s="23" t="s">
        <v>293</v>
      </c>
      <c r="P5" s="23" t="s">
        <v>102</v>
      </c>
    </row>
    <row r="6" customFormat="false" ht="19.5" hidden="false" customHeight="true" outlineLevel="0" collapsed="false">
      <c r="A6" s="1"/>
      <c r="B6" s="69" t="s">
        <v>294</v>
      </c>
      <c r="C6" s="49" t="n">
        <v>45662</v>
      </c>
      <c r="D6" s="69" t="s">
        <v>103</v>
      </c>
      <c r="E6" s="69" t="s">
        <v>295</v>
      </c>
      <c r="F6" s="95" t="n">
        <v>4200</v>
      </c>
      <c r="G6" s="96" t="s">
        <v>104</v>
      </c>
      <c r="H6" s="97" t="n">
        <f aca="false">F6*IFERROR(INDEX(Settings_FX!$C$16:$I$27,MATCH(TEXT(C6,"mmm-yy"),Settings_FX!$B$16:$B$27,0),MATCH(G6,Settings_FX!$C$15:$I$15,0)),1)</f>
        <v>1143.66</v>
      </c>
      <c r="I6" s="95" t="n">
        <v>130.2</v>
      </c>
      <c r="J6" s="97" t="n">
        <f aca="false">F6-I6</f>
        <v>4069.8</v>
      </c>
      <c r="K6" s="95" t="n">
        <v>4069.8</v>
      </c>
      <c r="L6" s="97" t="n">
        <f aca="false">J6-K6</f>
        <v>0</v>
      </c>
      <c r="M6" s="98" t="str">
        <f aca="false">TEXT(C6,"mmm-yy")</f>
        <v>Jan-25</v>
      </c>
      <c r="N6" s="47" t="s">
        <v>83</v>
      </c>
      <c r="O6" s="47" t="s">
        <v>296</v>
      </c>
      <c r="P6" s="99" t="s">
        <v>297</v>
      </c>
    </row>
    <row r="7" customFormat="false" ht="19.5" hidden="false" customHeight="true" outlineLevel="0" collapsed="false">
      <c r="A7" s="1"/>
      <c r="B7" s="70" t="s">
        <v>298</v>
      </c>
      <c r="C7" s="54" t="n">
        <v>45665</v>
      </c>
      <c r="D7" s="70" t="s">
        <v>105</v>
      </c>
      <c r="E7" s="70" t="s">
        <v>299</v>
      </c>
      <c r="F7" s="100" t="n">
        <v>1500</v>
      </c>
      <c r="G7" s="101" t="s">
        <v>104</v>
      </c>
      <c r="H7" s="102" t="n">
        <f aca="false">F7*IFERROR(INDEX(Settings_FX!$C$16:$I$27,MATCH(TEXT(C7,"mmm-yy"),Settings_FX!$B$16:$B$27,0),MATCH(G7,Settings_FX!$C$15:$I$15,0)),1)</f>
        <v>408.45</v>
      </c>
      <c r="I7" s="100" t="n">
        <v>46.5</v>
      </c>
      <c r="J7" s="102" t="n">
        <f aca="false">F7-I7</f>
        <v>1453.5</v>
      </c>
      <c r="K7" s="100" t="n">
        <v>1453.5</v>
      </c>
      <c r="L7" s="102" t="n">
        <f aca="false">J7-K7</f>
        <v>0</v>
      </c>
      <c r="M7" s="103" t="str">
        <f aca="false">TEXT(C7,"mmm-yy")</f>
        <v>Jan-25</v>
      </c>
      <c r="N7" s="52" t="s">
        <v>84</v>
      </c>
      <c r="O7" s="52" t="s">
        <v>296</v>
      </c>
      <c r="P7" s="104" t="s">
        <v>297</v>
      </c>
    </row>
    <row r="8" customFormat="false" ht="19.5" hidden="false" customHeight="true" outlineLevel="0" collapsed="false">
      <c r="A8" s="1"/>
      <c r="B8" s="69" t="s">
        <v>300</v>
      </c>
      <c r="C8" s="49" t="n">
        <v>45669</v>
      </c>
      <c r="D8" s="69" t="s">
        <v>106</v>
      </c>
      <c r="E8" s="69" t="s">
        <v>301</v>
      </c>
      <c r="F8" s="95" t="n">
        <v>6800</v>
      </c>
      <c r="G8" s="96" t="s">
        <v>107</v>
      </c>
      <c r="H8" s="97" t="n">
        <f aca="false">F8*IFERROR(INDEX(Settings_FX!$C$16:$I$27,MATCH(TEXT(C8,"mmm-yy"),Settings_FX!$B$16:$B$27,0),MATCH(G8,Settings_FX!$C$15:$I$15,0)),1)</f>
        <v>6800</v>
      </c>
      <c r="I8" s="95" t="n">
        <v>197.8</v>
      </c>
      <c r="J8" s="97" t="n">
        <f aca="false">F8-I8</f>
        <v>6602.2</v>
      </c>
      <c r="K8" s="95" t="n">
        <v>6602.2</v>
      </c>
      <c r="L8" s="97" t="n">
        <f aca="false">J8-K8</f>
        <v>0</v>
      </c>
      <c r="M8" s="98" t="str">
        <f aca="false">TEXT(C8,"mmm-yy")</f>
        <v>Jan-25</v>
      </c>
      <c r="N8" s="47" t="s">
        <v>85</v>
      </c>
      <c r="O8" s="47" t="s">
        <v>296</v>
      </c>
      <c r="P8" s="99" t="s">
        <v>297</v>
      </c>
    </row>
    <row r="9" customFormat="false" ht="19.5" hidden="false" customHeight="true" outlineLevel="0" collapsed="false">
      <c r="A9" s="1"/>
      <c r="B9" s="70" t="s">
        <v>302</v>
      </c>
      <c r="C9" s="54" t="n">
        <v>45675</v>
      </c>
      <c r="D9" s="70" t="s">
        <v>115</v>
      </c>
      <c r="E9" s="70" t="s">
        <v>295</v>
      </c>
      <c r="F9" s="100" t="n">
        <v>3200</v>
      </c>
      <c r="G9" s="101" t="s">
        <v>116</v>
      </c>
      <c r="H9" s="102" t="n">
        <f aca="false">F9*IFERROR(INDEX(Settings_FX!$C$16:$I$27,MATCH(TEXT(C9,"mmm-yy"),Settings_FX!$B$16:$B$27,0),MATCH(G9,Settings_FX!$C$15:$I$15,0)),1)</f>
        <v>2377.6</v>
      </c>
      <c r="I9" s="100" t="n">
        <v>96.4</v>
      </c>
      <c r="J9" s="102" t="n">
        <f aca="false">F9-I9</f>
        <v>3103.6</v>
      </c>
      <c r="K9" s="100" t="n">
        <v>3103.6</v>
      </c>
      <c r="L9" s="102" t="n">
        <f aca="false">J9-K9</f>
        <v>0</v>
      </c>
      <c r="M9" s="103" t="str">
        <f aca="false">TEXT(C9,"mmm-yy")</f>
        <v>Jan-25</v>
      </c>
      <c r="N9" s="52" t="s">
        <v>83</v>
      </c>
      <c r="O9" s="52" t="s">
        <v>303</v>
      </c>
      <c r="P9" s="104" t="s">
        <v>297</v>
      </c>
    </row>
    <row r="10" customFormat="false" ht="19.5" hidden="false" customHeight="true" outlineLevel="0" collapsed="false">
      <c r="A10" s="1"/>
      <c r="B10" s="69" t="s">
        <v>304</v>
      </c>
      <c r="C10" s="49" t="n">
        <v>45679</v>
      </c>
      <c r="D10" s="69" t="s">
        <v>118</v>
      </c>
      <c r="E10" s="69" t="s">
        <v>305</v>
      </c>
      <c r="F10" s="95" t="n">
        <v>18000</v>
      </c>
      <c r="G10" s="96" t="s">
        <v>116</v>
      </c>
      <c r="H10" s="97" t="n">
        <f aca="false">F10*IFERROR(INDEX(Settings_FX!$C$16:$I$27,MATCH(TEXT(C10,"mmm-yy"),Settings_FX!$B$16:$B$27,0),MATCH(G10,Settings_FX!$C$15:$I$15,0)),1)</f>
        <v>13374</v>
      </c>
      <c r="I10" s="95" t="n">
        <v>540</v>
      </c>
      <c r="J10" s="97" t="n">
        <f aca="false">F10-I10</f>
        <v>17460</v>
      </c>
      <c r="K10" s="95" t="n">
        <v>17460</v>
      </c>
      <c r="L10" s="97" t="n">
        <f aca="false">J10-K10</f>
        <v>0</v>
      </c>
      <c r="M10" s="98" t="str">
        <f aca="false">TEXT(C10,"mmm-yy")</f>
        <v>Jan-25</v>
      </c>
      <c r="N10" s="47" t="s">
        <v>84</v>
      </c>
      <c r="O10" s="47" t="s">
        <v>303</v>
      </c>
      <c r="P10" s="99" t="s">
        <v>297</v>
      </c>
    </row>
    <row r="11" customFormat="false" ht="19.5" hidden="false" customHeight="true" outlineLevel="0" collapsed="false">
      <c r="A11" s="1"/>
      <c r="B11" s="70" t="s">
        <v>306</v>
      </c>
      <c r="C11" s="54" t="n">
        <v>45685</v>
      </c>
      <c r="D11" s="70" t="s">
        <v>103</v>
      </c>
      <c r="E11" s="70" t="s">
        <v>307</v>
      </c>
      <c r="F11" s="100" t="n">
        <v>2500</v>
      </c>
      <c r="G11" s="101" t="s">
        <v>104</v>
      </c>
      <c r="H11" s="102" t="n">
        <f aca="false">F11*IFERROR(INDEX(Settings_FX!$C$16:$I$27,MATCH(TEXT(C11,"mmm-yy"),Settings_FX!$B$16:$B$27,0),MATCH(G11,Settings_FX!$C$15:$I$15,0)),1)</f>
        <v>680.75</v>
      </c>
      <c r="I11" s="100" t="n">
        <v>77.5</v>
      </c>
      <c r="J11" s="102" t="n">
        <f aca="false">F11-I11</f>
        <v>2422.5</v>
      </c>
      <c r="K11" s="100" t="n">
        <v>2422.5</v>
      </c>
      <c r="L11" s="102" t="n">
        <f aca="false">J11-K11</f>
        <v>0</v>
      </c>
      <c r="M11" s="103" t="str">
        <f aca="false">TEXT(C11,"mmm-yy")</f>
        <v>Jan-25</v>
      </c>
      <c r="N11" s="52" t="s">
        <v>83</v>
      </c>
      <c r="O11" s="52" t="s">
        <v>296</v>
      </c>
      <c r="P11" s="104" t="s">
        <v>297</v>
      </c>
    </row>
    <row r="12" customFormat="false" ht="19.5" hidden="false" customHeight="true" outlineLevel="0" collapsed="false">
      <c r="A12" s="1"/>
      <c r="B12" s="69" t="s">
        <v>308</v>
      </c>
      <c r="C12" s="49" t="n">
        <v>45692</v>
      </c>
      <c r="D12" s="69" t="s">
        <v>103</v>
      </c>
      <c r="E12" s="69" t="s">
        <v>309</v>
      </c>
      <c r="F12" s="95" t="n">
        <v>4500</v>
      </c>
      <c r="G12" s="96" t="s">
        <v>104</v>
      </c>
      <c r="H12" s="97" t="n">
        <f aca="false">F12*IFERROR(INDEX(Settings_FX!$C$16:$I$27,MATCH(TEXT(C12,"mmm-yy"),Settings_FX!$B$16:$B$27,0),MATCH(G12,Settings_FX!$C$15:$I$15,0)),1)</f>
        <v>1225.35</v>
      </c>
      <c r="I12" s="95" t="n">
        <v>139.5</v>
      </c>
      <c r="J12" s="97" t="n">
        <f aca="false">F12-I12</f>
        <v>4360.5</v>
      </c>
      <c r="K12" s="95" t="n">
        <v>4360.5</v>
      </c>
      <c r="L12" s="97" t="n">
        <f aca="false">J12-K12</f>
        <v>0</v>
      </c>
      <c r="M12" s="98" t="str">
        <f aca="false">TEXT(C12,"mmm-yy")</f>
        <v>Feb-25</v>
      </c>
      <c r="N12" s="47" t="s">
        <v>83</v>
      </c>
      <c r="O12" s="47" t="s">
        <v>296</v>
      </c>
      <c r="P12" s="99" t="s">
        <v>297</v>
      </c>
    </row>
    <row r="13" customFormat="false" ht="19.5" hidden="false" customHeight="true" outlineLevel="0" collapsed="false">
      <c r="A13" s="1"/>
      <c r="B13" s="70" t="s">
        <v>310</v>
      </c>
      <c r="C13" s="54" t="n">
        <v>45697</v>
      </c>
      <c r="D13" s="70" t="s">
        <v>105</v>
      </c>
      <c r="E13" s="70" t="s">
        <v>311</v>
      </c>
      <c r="F13" s="100" t="n">
        <v>1500</v>
      </c>
      <c r="G13" s="101" t="s">
        <v>104</v>
      </c>
      <c r="H13" s="102" t="n">
        <f aca="false">F13*IFERROR(INDEX(Settings_FX!$C$16:$I$27,MATCH(TEXT(C13,"mmm-yy"),Settings_FX!$B$16:$B$27,0),MATCH(G13,Settings_FX!$C$15:$I$15,0)),1)</f>
        <v>408.45</v>
      </c>
      <c r="I13" s="100" t="n">
        <v>46.5</v>
      </c>
      <c r="J13" s="102" t="n">
        <f aca="false">F13-I13</f>
        <v>1453.5</v>
      </c>
      <c r="K13" s="100" t="n">
        <v>1453.5</v>
      </c>
      <c r="L13" s="102" t="n">
        <f aca="false">J13-K13</f>
        <v>0</v>
      </c>
      <c r="M13" s="103" t="str">
        <f aca="false">TEXT(C13,"mmm-yy")</f>
        <v>Feb-25</v>
      </c>
      <c r="N13" s="52" t="s">
        <v>84</v>
      </c>
      <c r="O13" s="52" t="s">
        <v>296</v>
      </c>
      <c r="P13" s="104" t="s">
        <v>297</v>
      </c>
    </row>
    <row r="14" customFormat="false" ht="19.5" hidden="false" customHeight="true" outlineLevel="0" collapsed="false">
      <c r="A14" s="1"/>
      <c r="B14" s="69" t="s">
        <v>312</v>
      </c>
      <c r="C14" s="49" t="n">
        <v>45702</v>
      </c>
      <c r="D14" s="69" t="s">
        <v>106</v>
      </c>
      <c r="E14" s="69" t="s">
        <v>313</v>
      </c>
      <c r="F14" s="95" t="n">
        <v>12000</v>
      </c>
      <c r="G14" s="96" t="s">
        <v>107</v>
      </c>
      <c r="H14" s="97" t="n">
        <f aca="false">F14*IFERROR(INDEX(Settings_FX!$C$16:$I$27,MATCH(TEXT(C14,"mmm-yy"),Settings_FX!$B$16:$B$27,0),MATCH(G14,Settings_FX!$C$15:$I$15,0)),1)</f>
        <v>12000</v>
      </c>
      <c r="I14" s="95" t="n">
        <v>348.3</v>
      </c>
      <c r="J14" s="97" t="n">
        <f aca="false">F14-I14</f>
        <v>11651.7</v>
      </c>
      <c r="K14" s="95" t="n">
        <v>11651.7</v>
      </c>
      <c r="L14" s="97" t="n">
        <f aca="false">J14-K14</f>
        <v>0</v>
      </c>
      <c r="M14" s="98" t="str">
        <f aca="false">TEXT(C14,"mmm-yy")</f>
        <v>Feb-25</v>
      </c>
      <c r="N14" s="47" t="s">
        <v>85</v>
      </c>
      <c r="O14" s="47" t="s">
        <v>296</v>
      </c>
      <c r="P14" s="99" t="s">
        <v>297</v>
      </c>
    </row>
    <row r="15" customFormat="false" ht="19.5" hidden="false" customHeight="true" outlineLevel="0" collapsed="false">
      <c r="A15" s="1"/>
      <c r="B15" s="70" t="s">
        <v>314</v>
      </c>
      <c r="C15" s="54" t="n">
        <v>45708</v>
      </c>
      <c r="D15" s="70" t="s">
        <v>115</v>
      </c>
      <c r="E15" s="70" t="s">
        <v>309</v>
      </c>
      <c r="F15" s="100" t="n">
        <v>3500</v>
      </c>
      <c r="G15" s="101" t="s">
        <v>116</v>
      </c>
      <c r="H15" s="102" t="n">
        <f aca="false">F15*IFERROR(INDEX(Settings_FX!$C$16:$I$27,MATCH(TEXT(C15,"mmm-yy"),Settings_FX!$B$16:$B$27,0),MATCH(G15,Settings_FX!$C$15:$I$15,0)),1)</f>
        <v>2600.5</v>
      </c>
      <c r="I15" s="100" t="n">
        <v>105.5</v>
      </c>
      <c r="J15" s="102" t="n">
        <f aca="false">F15-I15</f>
        <v>3394.5</v>
      </c>
      <c r="K15" s="100" t="n">
        <v>3394.5</v>
      </c>
      <c r="L15" s="102" t="n">
        <f aca="false">J15-K15</f>
        <v>0</v>
      </c>
      <c r="M15" s="103" t="str">
        <f aca="false">TEXT(C15,"mmm-yy")</f>
        <v>Feb-25</v>
      </c>
      <c r="N15" s="52" t="s">
        <v>83</v>
      </c>
      <c r="O15" s="52" t="s">
        <v>303</v>
      </c>
      <c r="P15" s="104" t="s">
        <v>297</v>
      </c>
    </row>
    <row r="16" customFormat="false" ht="19.5" hidden="false" customHeight="true" outlineLevel="0" collapsed="false">
      <c r="A16" s="1"/>
      <c r="B16" s="69" t="s">
        <v>315</v>
      </c>
      <c r="C16" s="49" t="n">
        <v>45719</v>
      </c>
      <c r="D16" s="69" t="s">
        <v>108</v>
      </c>
      <c r="E16" s="69" t="s">
        <v>316</v>
      </c>
      <c r="F16" s="95" t="n">
        <v>5800</v>
      </c>
      <c r="G16" s="96" t="s">
        <v>104</v>
      </c>
      <c r="H16" s="97" t="n">
        <f aca="false">F16*IFERROR(INDEX(Settings_FX!$C$16:$I$27,MATCH(TEXT(C16,"mmm-yy"),Settings_FX!$B$16:$B$27,0),MATCH(G16,Settings_FX!$C$15:$I$15,0)),1)</f>
        <v>1579.34</v>
      </c>
      <c r="I16" s="95" t="n">
        <v>180.1</v>
      </c>
      <c r="J16" s="97" t="n">
        <f aca="false">F16-I16</f>
        <v>5619.9</v>
      </c>
      <c r="K16" s="95" t="n">
        <v>5619.9</v>
      </c>
      <c r="L16" s="97" t="n">
        <f aca="false">J16-K16</f>
        <v>0</v>
      </c>
      <c r="M16" s="98" t="str">
        <f aca="false">TEXT(C16,"mmm-yy")</f>
        <v>Mar-25</v>
      </c>
      <c r="N16" s="47" t="s">
        <v>83</v>
      </c>
      <c r="O16" s="47" t="s">
        <v>296</v>
      </c>
      <c r="P16" s="99" t="s">
        <v>297</v>
      </c>
    </row>
    <row r="17" customFormat="false" ht="19.5" hidden="false" customHeight="true" outlineLevel="0" collapsed="false">
      <c r="A17" s="1"/>
      <c r="B17" s="70" t="s">
        <v>317</v>
      </c>
      <c r="C17" s="54" t="n">
        <v>45723</v>
      </c>
      <c r="D17" s="70" t="s">
        <v>109</v>
      </c>
      <c r="E17" s="70" t="s">
        <v>318</v>
      </c>
      <c r="F17" s="100" t="n">
        <v>1500</v>
      </c>
      <c r="G17" s="101" t="s">
        <v>104</v>
      </c>
      <c r="H17" s="102" t="n">
        <f aca="false">F17*IFERROR(INDEX(Settings_FX!$C$16:$I$27,MATCH(TEXT(C17,"mmm-yy"),Settings_FX!$B$16:$B$27,0),MATCH(G17,Settings_FX!$C$15:$I$15,0)),1)</f>
        <v>408.45</v>
      </c>
      <c r="I17" s="100" t="n">
        <v>46.5</v>
      </c>
      <c r="J17" s="102" t="n">
        <f aca="false">F17-I17</f>
        <v>1453.5</v>
      </c>
      <c r="K17" s="100" t="n">
        <v>1453.5</v>
      </c>
      <c r="L17" s="102" t="n">
        <f aca="false">J17-K17</f>
        <v>0</v>
      </c>
      <c r="M17" s="103" t="str">
        <f aca="false">TEXT(C17,"mmm-yy")</f>
        <v>Mar-25</v>
      </c>
      <c r="N17" s="52" t="s">
        <v>84</v>
      </c>
      <c r="O17" s="52" t="s">
        <v>296</v>
      </c>
      <c r="P17" s="104" t="s">
        <v>297</v>
      </c>
    </row>
    <row r="18" customFormat="false" ht="19.5" hidden="false" customHeight="true" outlineLevel="0" collapsed="false">
      <c r="A18" s="1"/>
      <c r="B18" s="69" t="s">
        <v>319</v>
      </c>
      <c r="C18" s="49" t="n">
        <v>45731</v>
      </c>
      <c r="D18" s="69" t="s">
        <v>110</v>
      </c>
      <c r="E18" s="69" t="s">
        <v>320</v>
      </c>
      <c r="F18" s="95" t="n">
        <v>9500</v>
      </c>
      <c r="G18" s="96" t="s">
        <v>104</v>
      </c>
      <c r="H18" s="97" t="n">
        <f aca="false">F18*IFERROR(INDEX(Settings_FX!$C$16:$I$27,MATCH(TEXT(C18,"mmm-yy"),Settings_FX!$B$16:$B$27,0),MATCH(G18,Settings_FX!$C$15:$I$15,0)),1)</f>
        <v>2586.85</v>
      </c>
      <c r="I18" s="95" t="n">
        <v>294.5</v>
      </c>
      <c r="J18" s="97" t="n">
        <f aca="false">F18-I18</f>
        <v>9205.5</v>
      </c>
      <c r="K18" s="95" t="n">
        <v>9205.5</v>
      </c>
      <c r="L18" s="97" t="n">
        <f aca="false">J18-K18</f>
        <v>0</v>
      </c>
      <c r="M18" s="98" t="str">
        <f aca="false">TEXT(C18,"mmm-yy")</f>
        <v>Mar-25</v>
      </c>
      <c r="N18" s="47" t="s">
        <v>85</v>
      </c>
      <c r="O18" s="47" t="s">
        <v>296</v>
      </c>
      <c r="P18" s="99" t="s">
        <v>297</v>
      </c>
    </row>
    <row r="19" customFormat="false" ht="19.5" hidden="false" customHeight="true" outlineLevel="0" collapsed="false">
      <c r="A19" s="1"/>
      <c r="B19" s="70" t="s">
        <v>321</v>
      </c>
      <c r="C19" s="54" t="n">
        <v>45734</v>
      </c>
      <c r="D19" s="70" t="s">
        <v>117</v>
      </c>
      <c r="E19" s="70" t="s">
        <v>322</v>
      </c>
      <c r="F19" s="100" t="n">
        <v>15500</v>
      </c>
      <c r="G19" s="101" t="s">
        <v>107</v>
      </c>
      <c r="H19" s="102" t="n">
        <f aca="false">F19*IFERROR(INDEX(Settings_FX!$C$16:$I$27,MATCH(TEXT(C19,"mmm-yy"),Settings_FX!$B$16:$B$27,0),MATCH(G19,Settings_FX!$C$15:$I$15,0)),1)</f>
        <v>15500</v>
      </c>
      <c r="I19" s="100" t="n">
        <v>450.1</v>
      </c>
      <c r="J19" s="102" t="n">
        <f aca="false">F19-I19</f>
        <v>15049.9</v>
      </c>
      <c r="K19" s="100" t="n">
        <v>15049.9</v>
      </c>
      <c r="L19" s="102" t="n">
        <f aca="false">J19-K19</f>
        <v>0</v>
      </c>
      <c r="M19" s="103" t="str">
        <f aca="false">TEXT(C19,"mmm-yy")</f>
        <v>Mar-25</v>
      </c>
      <c r="N19" s="52" t="s">
        <v>85</v>
      </c>
      <c r="O19" s="52" t="s">
        <v>303</v>
      </c>
      <c r="P19" s="104" t="s">
        <v>297</v>
      </c>
    </row>
    <row r="20" customFormat="false" ht="19.5" hidden="false" customHeight="true" outlineLevel="0" collapsed="false">
      <c r="A20" s="1"/>
      <c r="B20" s="69" t="s">
        <v>323</v>
      </c>
      <c r="C20" s="49" t="n">
        <v>45741</v>
      </c>
      <c r="D20" s="69" t="s">
        <v>119</v>
      </c>
      <c r="E20" s="69" t="s">
        <v>316</v>
      </c>
      <c r="F20" s="95" t="n">
        <v>4100</v>
      </c>
      <c r="G20" s="96" t="s">
        <v>116</v>
      </c>
      <c r="H20" s="97" t="n">
        <f aca="false">F20*IFERROR(INDEX(Settings_FX!$C$16:$I$27,MATCH(TEXT(C20,"mmm-yy"),Settings_FX!$B$16:$B$27,0),MATCH(G20,Settings_FX!$C$15:$I$15,0)),1)</f>
        <v>3046.3</v>
      </c>
      <c r="I20" s="95" t="n">
        <v>123.6</v>
      </c>
      <c r="J20" s="97" t="n">
        <f aca="false">F20-I20</f>
        <v>3976.4</v>
      </c>
      <c r="K20" s="95" t="n">
        <v>3976.4</v>
      </c>
      <c r="L20" s="97" t="n">
        <f aca="false">J20-K20</f>
        <v>0</v>
      </c>
      <c r="M20" s="98" t="str">
        <f aca="false">TEXT(C20,"mmm-yy")</f>
        <v>Mar-25</v>
      </c>
      <c r="N20" s="47" t="s">
        <v>83</v>
      </c>
      <c r="O20" s="47" t="s">
        <v>303</v>
      </c>
      <c r="P20" s="99" t="s">
        <v>297</v>
      </c>
    </row>
    <row r="21" customFormat="false" ht="19.5" hidden="false" customHeight="true" outlineLevel="0" collapsed="false">
      <c r="A21" s="1"/>
      <c r="B21" s="70" t="s">
        <v>324</v>
      </c>
      <c r="C21" s="54" t="n">
        <v>45752</v>
      </c>
      <c r="D21" s="70" t="s">
        <v>103</v>
      </c>
      <c r="E21" s="70" t="s">
        <v>325</v>
      </c>
      <c r="F21" s="100" t="n">
        <v>4700</v>
      </c>
      <c r="G21" s="101" t="s">
        <v>104</v>
      </c>
      <c r="H21" s="102" t="n">
        <f aca="false">F21*IFERROR(INDEX(Settings_FX!$C$16:$I$27,MATCH(TEXT(C21,"mmm-yy"),Settings_FX!$B$16:$B$27,0),MATCH(G21,Settings_FX!$C$15:$I$15,0)),1)</f>
        <v>1279.81</v>
      </c>
      <c r="I21" s="100" t="n">
        <v>145.5</v>
      </c>
      <c r="J21" s="102" t="n">
        <f aca="false">F21-I21</f>
        <v>4554.5</v>
      </c>
      <c r="K21" s="100" t="n">
        <v>2500</v>
      </c>
      <c r="L21" s="102" t="n">
        <f aca="false">J21-K21</f>
        <v>2054.5</v>
      </c>
      <c r="M21" s="103" t="str">
        <f aca="false">TEXT(C21,"mmm-yy")</f>
        <v>Apr-25</v>
      </c>
      <c r="N21" s="52" t="s">
        <v>83</v>
      </c>
      <c r="O21" s="52" t="s">
        <v>296</v>
      </c>
      <c r="P21" s="105" t="s">
        <v>326</v>
      </c>
    </row>
    <row r="22" customFormat="false" ht="19.5" hidden="false" customHeight="true" outlineLevel="0" collapsed="false">
      <c r="A22" s="1"/>
      <c r="B22" s="69" t="s">
        <v>327</v>
      </c>
      <c r="C22" s="49" t="n">
        <v>45756</v>
      </c>
      <c r="D22" s="69" t="s">
        <v>105</v>
      </c>
      <c r="E22" s="69" t="s">
        <v>328</v>
      </c>
      <c r="F22" s="95" t="n">
        <v>1500</v>
      </c>
      <c r="G22" s="96" t="s">
        <v>104</v>
      </c>
      <c r="H22" s="97" t="n">
        <f aca="false">F22*IFERROR(INDEX(Settings_FX!$C$16:$I$27,MATCH(TEXT(C22,"mmm-yy"),Settings_FX!$B$16:$B$27,0),MATCH(G22,Settings_FX!$C$15:$I$15,0)),1)</f>
        <v>408.45</v>
      </c>
      <c r="I22" s="95" t="n">
        <v>46.5</v>
      </c>
      <c r="J22" s="97" t="n">
        <f aca="false">F22-I22</f>
        <v>1453.5</v>
      </c>
      <c r="K22" s="95" t="n">
        <v>1453.5</v>
      </c>
      <c r="L22" s="97" t="n">
        <f aca="false">J22-K22</f>
        <v>0</v>
      </c>
      <c r="M22" s="98" t="str">
        <f aca="false">TEXT(C22,"mmm-yy")</f>
        <v>Apr-25</v>
      </c>
      <c r="N22" s="47" t="s">
        <v>84</v>
      </c>
      <c r="O22" s="47" t="s">
        <v>296</v>
      </c>
      <c r="P22" s="99" t="s">
        <v>297</v>
      </c>
    </row>
    <row r="23" customFormat="false" ht="19.5" hidden="false" customHeight="true" outlineLevel="0" collapsed="false">
      <c r="A23" s="1"/>
      <c r="B23" s="70" t="s">
        <v>329</v>
      </c>
      <c r="C23" s="54" t="n">
        <v>45761</v>
      </c>
      <c r="D23" s="70" t="s">
        <v>120</v>
      </c>
      <c r="E23" s="70" t="s">
        <v>328</v>
      </c>
      <c r="F23" s="100" t="n">
        <v>2200</v>
      </c>
      <c r="G23" s="101" t="s">
        <v>107</v>
      </c>
      <c r="H23" s="102" t="n">
        <f aca="false">F23*IFERROR(INDEX(Settings_FX!$C$16:$I$27,MATCH(TEXT(C23,"mmm-yy"),Settings_FX!$B$16:$B$27,0),MATCH(G23,Settings_FX!$C$15:$I$15,0)),1)</f>
        <v>2200</v>
      </c>
      <c r="I23" s="100" t="n">
        <v>64.1</v>
      </c>
      <c r="J23" s="102" t="n">
        <f aca="false">F23-I23</f>
        <v>2135.9</v>
      </c>
      <c r="K23" s="100" t="n">
        <v>2135.9</v>
      </c>
      <c r="L23" s="102" t="n">
        <f aca="false">J23-K23</f>
        <v>0</v>
      </c>
      <c r="M23" s="103" t="str">
        <f aca="false">TEXT(C23,"mmm-yy")</f>
        <v>Apr-25</v>
      </c>
      <c r="N23" s="52" t="s">
        <v>84</v>
      </c>
      <c r="O23" s="52" t="s">
        <v>303</v>
      </c>
      <c r="P23" s="104" t="s">
        <v>297</v>
      </c>
    </row>
    <row r="24" customFormat="false" ht="19.5" hidden="false" customHeight="true" outlineLevel="0" collapsed="false">
      <c r="A24" s="1"/>
      <c r="B24" s="69" t="s">
        <v>330</v>
      </c>
      <c r="C24" s="49" t="n">
        <v>45781</v>
      </c>
      <c r="D24" s="69" t="s">
        <v>103</v>
      </c>
      <c r="E24" s="69" t="s">
        <v>331</v>
      </c>
      <c r="F24" s="95" t="n">
        <v>4900</v>
      </c>
      <c r="G24" s="96" t="s">
        <v>104</v>
      </c>
      <c r="H24" s="97" t="n">
        <f aca="false">F24*IFERROR(INDEX(Settings_FX!$C$16:$I$27,MATCH(TEXT(C24,"mmm-yy"),Settings_FX!$B$16:$B$27,0),MATCH(G24,Settings_FX!$C$15:$I$15,0)),1)</f>
        <v>1334.27</v>
      </c>
      <c r="I24" s="95" t="n">
        <v>151.9</v>
      </c>
      <c r="J24" s="97" t="n">
        <f aca="false">F24-I24</f>
        <v>4748.1</v>
      </c>
      <c r="K24" s="95" t="n">
        <v>4748.1</v>
      </c>
      <c r="L24" s="97" t="n">
        <f aca="false">J24-K24</f>
        <v>0</v>
      </c>
      <c r="M24" s="98" t="str">
        <f aca="false">TEXT(C24,"mmm-yy")</f>
        <v>May-25</v>
      </c>
      <c r="N24" s="47" t="s">
        <v>83</v>
      </c>
      <c r="O24" s="47" t="s">
        <v>296</v>
      </c>
      <c r="P24" s="99" t="s">
        <v>297</v>
      </c>
    </row>
    <row r="25" customFormat="false" ht="19.5" hidden="false" customHeight="true" outlineLevel="0" collapsed="false">
      <c r="A25" s="1"/>
      <c r="B25" s="70" t="s">
        <v>332</v>
      </c>
      <c r="C25" s="54" t="n">
        <v>45785</v>
      </c>
      <c r="D25" s="70" t="s">
        <v>106</v>
      </c>
      <c r="E25" s="70" t="s">
        <v>333</v>
      </c>
      <c r="F25" s="100" t="n">
        <v>8500</v>
      </c>
      <c r="G25" s="101" t="s">
        <v>107</v>
      </c>
      <c r="H25" s="102" t="n">
        <f aca="false">F25*IFERROR(INDEX(Settings_FX!$C$16:$I$27,MATCH(TEXT(C25,"mmm-yy"),Settings_FX!$B$16:$B$27,0),MATCH(G25,Settings_FX!$C$15:$I$15,0)),1)</f>
        <v>8500</v>
      </c>
      <c r="I25" s="100" t="n">
        <v>246.9</v>
      </c>
      <c r="J25" s="102" t="n">
        <f aca="false">F25-I25</f>
        <v>8253.1</v>
      </c>
      <c r="K25" s="100" t="n">
        <v>8253.1</v>
      </c>
      <c r="L25" s="102" t="n">
        <f aca="false">J25-K25</f>
        <v>0</v>
      </c>
      <c r="M25" s="103" t="str">
        <f aca="false">TEXT(C25,"mmm-yy")</f>
        <v>May-25</v>
      </c>
      <c r="N25" s="52" t="s">
        <v>85</v>
      </c>
      <c r="O25" s="52" t="s">
        <v>296</v>
      </c>
      <c r="P25" s="104" t="s">
        <v>297</v>
      </c>
    </row>
    <row r="26" customFormat="false" ht="19.5" hidden="false" customHeight="true" outlineLevel="0" collapsed="false">
      <c r="A26" s="1"/>
      <c r="B26" s="69" t="s">
        <v>334</v>
      </c>
      <c r="C26" s="49" t="n">
        <v>45792</v>
      </c>
      <c r="D26" s="69" t="s">
        <v>118</v>
      </c>
      <c r="E26" s="69" t="s">
        <v>335</v>
      </c>
      <c r="F26" s="95" t="n">
        <v>1800</v>
      </c>
      <c r="G26" s="96" t="s">
        <v>116</v>
      </c>
      <c r="H26" s="97" t="n">
        <f aca="false">F26*IFERROR(INDEX(Settings_FX!$C$16:$I$27,MATCH(TEXT(C26,"mmm-yy"),Settings_FX!$B$16:$B$27,0),MATCH(G26,Settings_FX!$C$15:$I$15,0)),1)</f>
        <v>1339.2</v>
      </c>
      <c r="I26" s="95" t="n">
        <v>54.2</v>
      </c>
      <c r="J26" s="97" t="n">
        <f aca="false">F26-I26</f>
        <v>1745.8</v>
      </c>
      <c r="K26" s="95" t="n">
        <v>1745.8</v>
      </c>
      <c r="L26" s="97" t="n">
        <f aca="false">J26-K26</f>
        <v>0</v>
      </c>
      <c r="M26" s="98" t="str">
        <f aca="false">TEXT(C26,"mmm-yy")</f>
        <v>May-25</v>
      </c>
      <c r="N26" s="47" t="s">
        <v>84</v>
      </c>
      <c r="O26" s="47" t="s">
        <v>303</v>
      </c>
      <c r="P26" s="99" t="s">
        <v>297</v>
      </c>
    </row>
    <row r="27" customFormat="false" ht="19.5" hidden="false" customHeight="true" outlineLevel="0" collapsed="false">
      <c r="A27" s="1"/>
      <c r="B27" s="70" t="s">
        <v>336</v>
      </c>
      <c r="C27" s="54" t="n">
        <v>45811</v>
      </c>
      <c r="D27" s="70" t="s">
        <v>108</v>
      </c>
      <c r="E27" s="70" t="s">
        <v>337</v>
      </c>
      <c r="F27" s="100" t="n">
        <v>6100</v>
      </c>
      <c r="G27" s="101" t="s">
        <v>104</v>
      </c>
      <c r="H27" s="102" t="n">
        <f aca="false">F27*IFERROR(INDEX(Settings_FX!$C$16:$I$27,MATCH(TEXT(C27,"mmm-yy"),Settings_FX!$B$16:$B$27,0),MATCH(G27,Settings_FX!$C$15:$I$15,0)),1)</f>
        <v>1661.03</v>
      </c>
      <c r="I27" s="100" t="n">
        <v>189.1</v>
      </c>
      <c r="J27" s="102" t="n">
        <f aca="false">F27-I27</f>
        <v>5910.9</v>
      </c>
      <c r="K27" s="100" t="n">
        <v>5910.9</v>
      </c>
      <c r="L27" s="102" t="n">
        <f aca="false">J27-K27</f>
        <v>0</v>
      </c>
      <c r="M27" s="103" t="str">
        <f aca="false">TEXT(C27,"mmm-yy")</f>
        <v>Jun-25</v>
      </c>
      <c r="N27" s="52" t="s">
        <v>83</v>
      </c>
      <c r="O27" s="52" t="s">
        <v>296</v>
      </c>
      <c r="P27" s="104" t="s">
        <v>297</v>
      </c>
    </row>
    <row r="28" customFormat="false" ht="19.5" hidden="false" customHeight="true" outlineLevel="0" collapsed="false">
      <c r="A28" s="1"/>
      <c r="B28" s="69" t="s">
        <v>338</v>
      </c>
      <c r="C28" s="49" t="n">
        <v>45818</v>
      </c>
      <c r="D28" s="69" t="s">
        <v>111</v>
      </c>
      <c r="E28" s="69" t="s">
        <v>305</v>
      </c>
      <c r="F28" s="95" t="n">
        <v>24000</v>
      </c>
      <c r="G28" s="96" t="s">
        <v>107</v>
      </c>
      <c r="H28" s="97" t="n">
        <f aca="false">F28*IFERROR(INDEX(Settings_FX!$C$16:$I$27,MATCH(TEXT(C28,"mmm-yy"),Settings_FX!$B$16:$B$27,0),MATCH(G28,Settings_FX!$C$15:$I$15,0)),1)</f>
        <v>24000</v>
      </c>
      <c r="I28" s="95" t="n">
        <v>696.3</v>
      </c>
      <c r="J28" s="97" t="n">
        <f aca="false">F28-I28</f>
        <v>23303.7</v>
      </c>
      <c r="K28" s="95" t="n">
        <v>23303.7</v>
      </c>
      <c r="L28" s="97" t="n">
        <f aca="false">J28-K28</f>
        <v>0</v>
      </c>
      <c r="M28" s="98" t="str">
        <f aca="false">TEXT(C28,"mmm-yy")</f>
        <v>Jun-25</v>
      </c>
      <c r="N28" s="47" t="s">
        <v>84</v>
      </c>
      <c r="O28" s="47" t="s">
        <v>296</v>
      </c>
      <c r="P28" s="99" t="s">
        <v>297</v>
      </c>
    </row>
    <row r="29" customFormat="false" ht="19.5" hidden="false" customHeight="true" outlineLevel="0" collapsed="false">
      <c r="A29" s="1"/>
      <c r="B29" s="70" t="s">
        <v>339</v>
      </c>
      <c r="C29" s="54" t="n">
        <v>45826</v>
      </c>
      <c r="D29" s="70" t="s">
        <v>112</v>
      </c>
      <c r="E29" s="70" t="s">
        <v>337</v>
      </c>
      <c r="F29" s="100" t="n">
        <v>5400</v>
      </c>
      <c r="G29" s="101" t="s">
        <v>107</v>
      </c>
      <c r="H29" s="102" t="n">
        <f aca="false">F29*IFERROR(INDEX(Settings_FX!$C$16:$I$27,MATCH(TEXT(C29,"mmm-yy"),Settings_FX!$B$16:$B$27,0),MATCH(G29,Settings_FX!$C$15:$I$15,0)),1)</f>
        <v>5400</v>
      </c>
      <c r="I29" s="100" t="n">
        <v>156.8</v>
      </c>
      <c r="J29" s="102" t="n">
        <f aca="false">F29-I29</f>
        <v>5243.2</v>
      </c>
      <c r="K29" s="100" t="n">
        <v>5243.2</v>
      </c>
      <c r="L29" s="102" t="n">
        <f aca="false">J29-K29</f>
        <v>0</v>
      </c>
      <c r="M29" s="103" t="str">
        <f aca="false">TEXT(C29,"mmm-yy")</f>
        <v>Jun-25</v>
      </c>
      <c r="N29" s="52" t="s">
        <v>83</v>
      </c>
      <c r="O29" s="52" t="s">
        <v>296</v>
      </c>
      <c r="P29" s="104" t="s">
        <v>297</v>
      </c>
    </row>
    <row r="30" customFormat="false" ht="19.5" hidden="false" customHeight="true" outlineLevel="0" collapsed="false">
      <c r="A30" s="1"/>
      <c r="B30" s="69" t="s">
        <v>340</v>
      </c>
      <c r="C30" s="49" t="n">
        <v>45843</v>
      </c>
      <c r="D30" s="69" t="s">
        <v>121</v>
      </c>
      <c r="E30" s="69" t="s">
        <v>341</v>
      </c>
      <c r="F30" s="95" t="n">
        <v>13500</v>
      </c>
      <c r="G30" s="96" t="s">
        <v>116</v>
      </c>
      <c r="H30" s="97" t="n">
        <f aca="false">F30*IFERROR(INDEX(Settings_FX!$C$16:$I$27,MATCH(TEXT(C30,"mmm-yy"),Settings_FX!$B$16:$B$27,0),MATCH(G30,Settings_FX!$C$15:$I$15,0)),1)</f>
        <v>10050.75</v>
      </c>
      <c r="I30" s="95" t="n">
        <v>407.1</v>
      </c>
      <c r="J30" s="97" t="n">
        <f aca="false">F30-I30</f>
        <v>13092.9</v>
      </c>
      <c r="K30" s="95" t="n">
        <v>8000</v>
      </c>
      <c r="L30" s="97" t="n">
        <f aca="false">J30-K30</f>
        <v>5092.9</v>
      </c>
      <c r="M30" s="98" t="str">
        <f aca="false">TEXT(C30,"mmm-yy")</f>
        <v>Jul-25</v>
      </c>
      <c r="N30" s="47" t="s">
        <v>85</v>
      </c>
      <c r="O30" s="47" t="s">
        <v>303</v>
      </c>
      <c r="P30" s="106" t="s">
        <v>326</v>
      </c>
    </row>
    <row r="31" customFormat="false" ht="19.5" hidden="false" customHeight="true" outlineLevel="0" collapsed="false">
      <c r="A31" s="1"/>
      <c r="B31" s="70" t="s">
        <v>342</v>
      </c>
      <c r="C31" s="54" t="n">
        <v>45850</v>
      </c>
      <c r="D31" s="70" t="s">
        <v>103</v>
      </c>
      <c r="E31" s="70" t="s">
        <v>343</v>
      </c>
      <c r="F31" s="100" t="n">
        <v>5200</v>
      </c>
      <c r="G31" s="101" t="s">
        <v>104</v>
      </c>
      <c r="H31" s="102" t="n">
        <f aca="false">F31*IFERROR(INDEX(Settings_FX!$C$16:$I$27,MATCH(TEXT(C31,"mmm-yy"),Settings_FX!$B$16:$B$27,0),MATCH(G31,Settings_FX!$C$15:$I$15,0)),1)</f>
        <v>1415.96</v>
      </c>
      <c r="I31" s="100" t="n">
        <v>161.2</v>
      </c>
      <c r="J31" s="102" t="n">
        <f aca="false">F31-I31</f>
        <v>5038.8</v>
      </c>
      <c r="K31" s="100" t="n">
        <v>5038.8</v>
      </c>
      <c r="L31" s="102" t="n">
        <f aca="false">J31-K31</f>
        <v>0</v>
      </c>
      <c r="M31" s="103" t="str">
        <f aca="false">TEXT(C31,"mmm-yy")</f>
        <v>Jul-25</v>
      </c>
      <c r="N31" s="52" t="s">
        <v>83</v>
      </c>
      <c r="O31" s="52" t="s">
        <v>296</v>
      </c>
      <c r="P31" s="104" t="s">
        <v>297</v>
      </c>
    </row>
    <row r="32" customFormat="false" ht="19.5" hidden="false" customHeight="true" outlineLevel="0" collapsed="false">
      <c r="A32" s="1"/>
      <c r="B32" s="69" t="s">
        <v>344</v>
      </c>
      <c r="C32" s="49" t="n">
        <v>45878</v>
      </c>
      <c r="D32" s="69" t="s">
        <v>115</v>
      </c>
      <c r="E32" s="69" t="s">
        <v>345</v>
      </c>
      <c r="F32" s="95" t="n">
        <v>3800</v>
      </c>
      <c r="G32" s="96" t="s">
        <v>116</v>
      </c>
      <c r="H32" s="97" t="n">
        <f aca="false">F32*IFERROR(INDEX(Settings_FX!$C$16:$I$27,MATCH(TEXT(C32,"mmm-yy"),Settings_FX!$B$16:$B$27,0),MATCH(G32,Settings_FX!$C$15:$I$15,0)),1)</f>
        <v>2831</v>
      </c>
      <c r="I32" s="95" t="n">
        <v>114.5</v>
      </c>
      <c r="J32" s="97" t="n">
        <f aca="false">F32-I32</f>
        <v>3685.5</v>
      </c>
      <c r="K32" s="95" t="n">
        <v>3685.5</v>
      </c>
      <c r="L32" s="97" t="n">
        <f aca="false">J32-K32</f>
        <v>0</v>
      </c>
      <c r="M32" s="98" t="str">
        <f aca="false">TEXT(C32,"mmm-yy")</f>
        <v>Aug-25</v>
      </c>
      <c r="N32" s="47" t="s">
        <v>83</v>
      </c>
      <c r="O32" s="47" t="s">
        <v>303</v>
      </c>
      <c r="P32" s="99" t="s">
        <v>297</v>
      </c>
    </row>
    <row r="33" customFormat="false" ht="19.5" hidden="false" customHeight="true" outlineLevel="0" collapsed="false">
      <c r="A33" s="1"/>
      <c r="B33" s="70" t="s">
        <v>346</v>
      </c>
      <c r="C33" s="54" t="n">
        <v>45914</v>
      </c>
      <c r="D33" s="70" t="s">
        <v>122</v>
      </c>
      <c r="E33" s="70" t="s">
        <v>347</v>
      </c>
      <c r="F33" s="100" t="n">
        <v>11200</v>
      </c>
      <c r="G33" s="101" t="s">
        <v>107</v>
      </c>
      <c r="H33" s="102" t="n">
        <f aca="false">F33*IFERROR(INDEX(Settings_FX!$C$16:$I$27,MATCH(TEXT(C33,"mmm-yy"),Settings_FX!$B$16:$B$27,0),MATCH(G33,Settings_FX!$C$15:$I$15,0)),1)</f>
        <v>11200</v>
      </c>
      <c r="I33" s="100" t="n">
        <v>325.2</v>
      </c>
      <c r="J33" s="102" t="n">
        <f aca="false">F33-I33</f>
        <v>10874.8</v>
      </c>
      <c r="K33" s="100" t="n">
        <v>10874.8</v>
      </c>
      <c r="L33" s="102" t="n">
        <f aca="false">J33-K33</f>
        <v>0</v>
      </c>
      <c r="M33" s="103" t="str">
        <f aca="false">TEXT(C33,"mmm-yy")</f>
        <v>Sep-25</v>
      </c>
      <c r="N33" s="52" t="s">
        <v>85</v>
      </c>
      <c r="O33" s="52" t="s">
        <v>303</v>
      </c>
      <c r="P33" s="104" t="s">
        <v>297</v>
      </c>
    </row>
    <row r="34" customFormat="false" ht="24" hidden="false" customHeight="true" outlineLevel="0" collapsed="false">
      <c r="A34" s="1"/>
      <c r="B34" s="40" t="s">
        <v>145</v>
      </c>
      <c r="C34" s="56"/>
      <c r="D34" s="56"/>
      <c r="E34" s="56"/>
      <c r="F34" s="55" t="n">
        <f aca="false">SUM(F6:F33)</f>
        <v>186900</v>
      </c>
      <c r="G34" s="56"/>
      <c r="H34" s="55" t="n">
        <f aca="false">SUM(H6:H33)</f>
        <v>135760.17</v>
      </c>
      <c r="I34" s="55" t="n">
        <f aca="false">SUM(I6:I33)</f>
        <v>5582.3</v>
      </c>
      <c r="J34" s="55" t="n">
        <f aca="false">SUM(J6:J33)</f>
        <v>181317.7</v>
      </c>
      <c r="K34" s="55" t="n">
        <f aca="false">SUM(K6:K33)</f>
        <v>174170.3</v>
      </c>
      <c r="L34" s="55" t="n">
        <f aca="false">SUM(L6:L33)</f>
        <v>7147.4</v>
      </c>
      <c r="M34" s="56"/>
      <c r="N34" s="56"/>
      <c r="O34" s="56"/>
      <c r="P34" s="56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07" t="s">
        <v>348</v>
      </c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</sheetData>
  <mergeCells count="3">
    <mergeCell ref="B2:O2"/>
    <mergeCell ref="B3:O3"/>
    <mergeCell ref="B36:P36"/>
  </mergeCells>
  <conditionalFormatting sqref="L6:L33">
    <cfRule type="cellIs" priority="2" operator="greaterThan" aboveAverage="0" equalAverage="0" bottom="0" percent="0" rank="0" text="" dxfId="5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C4E1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2"/>
    <col collapsed="false" customWidth="true" hidden="false" outlineLevel="0" max="4" min="4" style="0" width="26"/>
    <col collapsed="false" customWidth="true" hidden="false" outlineLevel="0" max="5" min="5" style="0" width="32"/>
    <col collapsed="false" customWidth="true" hidden="false" outlineLevel="0" max="7" min="6" style="0" width="13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349</v>
      </c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</row>
    <row r="3" customFormat="false" ht="18" hidden="false" customHeight="true" outlineLevel="0" collapsed="false">
      <c r="A3" s="1"/>
      <c r="B3" s="3" t="s">
        <v>350</v>
      </c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23" t="s">
        <v>286</v>
      </c>
      <c r="C5" s="23" t="s">
        <v>351</v>
      </c>
      <c r="D5" s="23" t="s">
        <v>352</v>
      </c>
      <c r="E5" s="23" t="s">
        <v>179</v>
      </c>
      <c r="F5" s="23" t="s">
        <v>353</v>
      </c>
      <c r="G5" s="23" t="s">
        <v>354</v>
      </c>
      <c r="H5" s="23" t="s">
        <v>98</v>
      </c>
      <c r="I5" s="23" t="s">
        <v>288</v>
      </c>
      <c r="J5" s="23" t="s">
        <v>293</v>
      </c>
      <c r="K5" s="23" t="s">
        <v>57</v>
      </c>
      <c r="L5" s="1"/>
      <c r="M5" s="1"/>
      <c r="N5" s="1"/>
    </row>
    <row r="6" customFormat="false" ht="19.5" hidden="false" customHeight="true" outlineLevel="0" collapsed="false">
      <c r="A6" s="1"/>
      <c r="B6" s="108" t="n">
        <v>45672</v>
      </c>
      <c r="C6" s="96" t="s">
        <v>355</v>
      </c>
      <c r="D6" s="109" t="s">
        <v>356</v>
      </c>
      <c r="E6" s="109" t="s">
        <v>357</v>
      </c>
      <c r="F6" s="95" t="n">
        <v>12000</v>
      </c>
      <c r="G6" s="95" t="n">
        <v>0</v>
      </c>
      <c r="H6" s="96" t="s">
        <v>104</v>
      </c>
      <c r="I6" s="97" t="n">
        <f aca="false">(F6-G6)*IFERROR(INDEX(Settings_FX!$C$16:$I$27,MATCH(TEXT(B6,"mmm-yy"),Settings_FX!$B$16:$B$27,0),MATCH(H6,Settings_FX!$C$15:$I$15,0)),1)</f>
        <v>3267.6</v>
      </c>
      <c r="J6" s="96" t="s">
        <v>296</v>
      </c>
      <c r="K6" s="98" t="str">
        <f aca="false">TEXT(B6,"mmm-yy")</f>
        <v>Jan-25</v>
      </c>
      <c r="L6" s="1"/>
      <c r="M6" s="1"/>
      <c r="N6" s="1"/>
    </row>
    <row r="7" customFormat="false" ht="19.5" hidden="false" customHeight="true" outlineLevel="0" collapsed="false">
      <c r="A7" s="1"/>
      <c r="B7" s="110" t="n">
        <v>45677</v>
      </c>
      <c r="C7" s="101" t="s">
        <v>358</v>
      </c>
      <c r="D7" s="111" t="s">
        <v>359</v>
      </c>
      <c r="E7" s="111" t="s">
        <v>360</v>
      </c>
      <c r="F7" s="100" t="n">
        <v>45000</v>
      </c>
      <c r="G7" s="100" t="n">
        <v>0</v>
      </c>
      <c r="H7" s="101" t="s">
        <v>104</v>
      </c>
      <c r="I7" s="102" t="n">
        <f aca="false">(F7-G7)*IFERROR(INDEX(Settings_FX!$C$16:$I$27,MATCH(TEXT(B7,"mmm-yy"),Settings_FX!$B$16:$B$27,0),MATCH(H7,Settings_FX!$C$15:$I$15,0)),1)</f>
        <v>12253.5</v>
      </c>
      <c r="J7" s="101" t="s">
        <v>296</v>
      </c>
      <c r="K7" s="103" t="str">
        <f aca="false">TEXT(B7,"mmm-yy")</f>
        <v>Jan-25</v>
      </c>
      <c r="L7" s="1"/>
      <c r="M7" s="1"/>
      <c r="N7" s="1"/>
    </row>
    <row r="8" customFormat="false" ht="19.5" hidden="false" customHeight="true" outlineLevel="0" collapsed="false">
      <c r="A8" s="1"/>
      <c r="B8" s="108" t="n">
        <v>45685</v>
      </c>
      <c r="C8" s="96" t="s">
        <v>361</v>
      </c>
      <c r="D8" s="109" t="s">
        <v>362</v>
      </c>
      <c r="E8" s="109" t="s">
        <v>363</v>
      </c>
      <c r="F8" s="95" t="n">
        <v>2500</v>
      </c>
      <c r="G8" s="95" t="n">
        <v>0</v>
      </c>
      <c r="H8" s="96" t="s">
        <v>104</v>
      </c>
      <c r="I8" s="97" t="n">
        <f aca="false">(F8-G8)*IFERROR(INDEX(Settings_FX!$C$16:$I$27,MATCH(TEXT(B8,"mmm-yy"),Settings_FX!$B$16:$B$27,0),MATCH(H8,Settings_FX!$C$15:$I$15,0)),1)</f>
        <v>680.75</v>
      </c>
      <c r="J8" s="96" t="s">
        <v>296</v>
      </c>
      <c r="K8" s="98" t="str">
        <f aca="false">TEXT(B8,"mmm-yy")</f>
        <v>Jan-25</v>
      </c>
      <c r="L8" s="1"/>
      <c r="M8" s="1"/>
      <c r="N8" s="1"/>
    </row>
    <row r="9" customFormat="false" ht="19.5" hidden="false" customHeight="true" outlineLevel="0" collapsed="false">
      <c r="A9" s="1"/>
      <c r="B9" s="110" t="n">
        <v>45703</v>
      </c>
      <c r="C9" s="101" t="s">
        <v>355</v>
      </c>
      <c r="D9" s="111" t="s">
        <v>356</v>
      </c>
      <c r="E9" s="111" t="s">
        <v>364</v>
      </c>
      <c r="F9" s="100" t="n">
        <v>12000</v>
      </c>
      <c r="G9" s="100" t="n">
        <v>0</v>
      </c>
      <c r="H9" s="101" t="s">
        <v>104</v>
      </c>
      <c r="I9" s="102" t="n">
        <f aca="false">(F9-G9)*IFERROR(INDEX(Settings_FX!$C$16:$I$27,MATCH(TEXT(B9,"mmm-yy"),Settings_FX!$B$16:$B$27,0),MATCH(H9,Settings_FX!$C$15:$I$15,0)),1)</f>
        <v>3267.6</v>
      </c>
      <c r="J9" s="101" t="s">
        <v>296</v>
      </c>
      <c r="K9" s="103" t="str">
        <f aca="false">TEXT(B9,"mmm-yy")</f>
        <v>Feb-25</v>
      </c>
      <c r="L9" s="1"/>
      <c r="M9" s="1"/>
      <c r="N9" s="1"/>
    </row>
    <row r="10" customFormat="false" ht="19.5" hidden="false" customHeight="true" outlineLevel="0" collapsed="false">
      <c r="A10" s="1"/>
      <c r="B10" s="108" t="n">
        <v>45708</v>
      </c>
      <c r="C10" s="96" t="s">
        <v>358</v>
      </c>
      <c r="D10" s="109" t="s">
        <v>359</v>
      </c>
      <c r="E10" s="109" t="s">
        <v>365</v>
      </c>
      <c r="F10" s="95" t="n">
        <v>47000</v>
      </c>
      <c r="G10" s="95" t="n">
        <v>0</v>
      </c>
      <c r="H10" s="96" t="s">
        <v>104</v>
      </c>
      <c r="I10" s="97" t="n">
        <f aca="false">(F10-G10)*IFERROR(INDEX(Settings_FX!$C$16:$I$27,MATCH(TEXT(B10,"mmm-yy"),Settings_FX!$B$16:$B$27,0),MATCH(H10,Settings_FX!$C$15:$I$15,0)),1)</f>
        <v>12798.1</v>
      </c>
      <c r="J10" s="96" t="s">
        <v>296</v>
      </c>
      <c r="K10" s="98" t="str">
        <f aca="false">TEXT(B10,"mmm-yy")</f>
        <v>Feb-25</v>
      </c>
      <c r="L10" s="1"/>
      <c r="M10" s="1"/>
      <c r="N10" s="1"/>
    </row>
    <row r="11" customFormat="false" ht="19.5" hidden="false" customHeight="true" outlineLevel="0" collapsed="false">
      <c r="A11" s="1"/>
      <c r="B11" s="110" t="n">
        <v>45716</v>
      </c>
      <c r="C11" s="101" t="s">
        <v>361</v>
      </c>
      <c r="D11" s="111" t="s">
        <v>362</v>
      </c>
      <c r="E11" s="111" t="s">
        <v>366</v>
      </c>
      <c r="F11" s="100" t="n">
        <v>2600</v>
      </c>
      <c r="G11" s="100" t="n">
        <v>0</v>
      </c>
      <c r="H11" s="101" t="s">
        <v>104</v>
      </c>
      <c r="I11" s="102" t="n">
        <f aca="false">(F11-G11)*IFERROR(INDEX(Settings_FX!$C$16:$I$27,MATCH(TEXT(B11,"mmm-yy"),Settings_FX!$B$16:$B$27,0),MATCH(H11,Settings_FX!$C$15:$I$15,0)),1)</f>
        <v>707.98</v>
      </c>
      <c r="J11" s="101" t="s">
        <v>296</v>
      </c>
      <c r="K11" s="103" t="str">
        <f aca="false">TEXT(B11,"mmm-yy")</f>
        <v>Feb-25</v>
      </c>
      <c r="L11" s="1"/>
      <c r="M11" s="1"/>
      <c r="N11" s="1"/>
    </row>
    <row r="12" customFormat="false" ht="19.5" hidden="false" customHeight="true" outlineLevel="0" collapsed="false">
      <c r="A12" s="1"/>
      <c r="B12" s="108" t="n">
        <v>45731</v>
      </c>
      <c r="C12" s="96" t="s">
        <v>355</v>
      </c>
      <c r="D12" s="109" t="s">
        <v>356</v>
      </c>
      <c r="E12" s="109" t="s">
        <v>367</v>
      </c>
      <c r="F12" s="95" t="n">
        <v>12000</v>
      </c>
      <c r="G12" s="95" t="n">
        <v>0</v>
      </c>
      <c r="H12" s="96" t="s">
        <v>104</v>
      </c>
      <c r="I12" s="97" t="n">
        <f aca="false">(F12-G12)*IFERROR(INDEX(Settings_FX!$C$16:$I$27,MATCH(TEXT(B12,"mmm-yy"),Settings_FX!$B$16:$B$27,0),MATCH(H12,Settings_FX!$C$15:$I$15,0)),1)</f>
        <v>3267.6</v>
      </c>
      <c r="J12" s="96" t="s">
        <v>296</v>
      </c>
      <c r="K12" s="98" t="str">
        <f aca="false">TEXT(B12,"mmm-yy")</f>
        <v>Mar-25</v>
      </c>
      <c r="L12" s="1"/>
      <c r="M12" s="1"/>
      <c r="N12" s="1"/>
    </row>
    <row r="13" customFormat="false" ht="19.5" hidden="false" customHeight="true" outlineLevel="0" collapsed="false">
      <c r="A13" s="1"/>
      <c r="B13" s="110" t="n">
        <v>45736</v>
      </c>
      <c r="C13" s="101" t="s">
        <v>358</v>
      </c>
      <c r="D13" s="111" t="s">
        <v>359</v>
      </c>
      <c r="E13" s="111" t="s">
        <v>368</v>
      </c>
      <c r="F13" s="100" t="n">
        <v>50000</v>
      </c>
      <c r="G13" s="100" t="n">
        <v>0</v>
      </c>
      <c r="H13" s="101" t="s">
        <v>104</v>
      </c>
      <c r="I13" s="102" t="n">
        <f aca="false">(F13-G13)*IFERROR(INDEX(Settings_FX!$C$16:$I$27,MATCH(TEXT(B13,"mmm-yy"),Settings_FX!$B$16:$B$27,0),MATCH(H13,Settings_FX!$C$15:$I$15,0)),1)</f>
        <v>13615</v>
      </c>
      <c r="J13" s="101" t="s">
        <v>296</v>
      </c>
      <c r="K13" s="103" t="str">
        <f aca="false">TEXT(B13,"mmm-yy")</f>
        <v>Mar-25</v>
      </c>
      <c r="L13" s="1"/>
      <c r="M13" s="1"/>
      <c r="N13" s="1"/>
    </row>
    <row r="14" customFormat="false" ht="19.5" hidden="false" customHeight="true" outlineLevel="0" collapsed="false">
      <c r="A14" s="1"/>
      <c r="B14" s="108" t="n">
        <v>45744</v>
      </c>
      <c r="C14" s="96" t="s">
        <v>361</v>
      </c>
      <c r="D14" s="109" t="s">
        <v>362</v>
      </c>
      <c r="E14" s="109" t="s">
        <v>369</v>
      </c>
      <c r="F14" s="95" t="n">
        <v>2400</v>
      </c>
      <c r="G14" s="95" t="n">
        <v>0</v>
      </c>
      <c r="H14" s="96" t="s">
        <v>104</v>
      </c>
      <c r="I14" s="97" t="n">
        <f aca="false">(F14-G14)*IFERROR(INDEX(Settings_FX!$C$16:$I$27,MATCH(TEXT(B14,"mmm-yy"),Settings_FX!$B$16:$B$27,0),MATCH(H14,Settings_FX!$C$15:$I$15,0)),1)</f>
        <v>653.52</v>
      </c>
      <c r="J14" s="96" t="s">
        <v>296</v>
      </c>
      <c r="K14" s="98" t="str">
        <f aca="false">TEXT(B14,"mmm-yy")</f>
        <v>Mar-25</v>
      </c>
      <c r="L14" s="1"/>
      <c r="M14" s="1"/>
      <c r="N14" s="1"/>
    </row>
    <row r="15" customFormat="false" ht="19.5" hidden="false" customHeight="true" outlineLevel="0" collapsed="false">
      <c r="A15" s="1"/>
      <c r="B15" s="110" t="n">
        <v>45672</v>
      </c>
      <c r="C15" s="101" t="s">
        <v>355</v>
      </c>
      <c r="D15" s="111" t="s">
        <v>356</v>
      </c>
      <c r="E15" s="111" t="s">
        <v>370</v>
      </c>
      <c r="F15" s="100" t="n">
        <v>8000</v>
      </c>
      <c r="G15" s="100" t="n">
        <v>0</v>
      </c>
      <c r="H15" s="101" t="s">
        <v>116</v>
      </c>
      <c r="I15" s="102" t="n">
        <f aca="false">(F15-G15)*IFERROR(INDEX(Settings_FX!$C$16:$I$27,MATCH(TEXT(B15,"mmm-yy"),Settings_FX!$B$16:$B$27,0),MATCH(H15,Settings_FX!$C$15:$I$15,0)),1)</f>
        <v>5944</v>
      </c>
      <c r="J15" s="101" t="s">
        <v>303</v>
      </c>
      <c r="K15" s="103" t="str">
        <f aca="false">TEXT(B15,"mmm-yy")</f>
        <v>Jan-25</v>
      </c>
      <c r="L15" s="1"/>
      <c r="M15" s="1"/>
      <c r="N15" s="1"/>
    </row>
    <row r="16" customFormat="false" ht="19.5" hidden="false" customHeight="true" outlineLevel="0" collapsed="false">
      <c r="A16" s="1"/>
      <c r="B16" s="108" t="n">
        <v>45682</v>
      </c>
      <c r="C16" s="96" t="s">
        <v>358</v>
      </c>
      <c r="D16" s="109" t="s">
        <v>359</v>
      </c>
      <c r="E16" s="109" t="s">
        <v>371</v>
      </c>
      <c r="F16" s="95" t="n">
        <v>22000</v>
      </c>
      <c r="G16" s="95" t="n">
        <v>0</v>
      </c>
      <c r="H16" s="96" t="s">
        <v>116</v>
      </c>
      <c r="I16" s="97" t="n">
        <f aca="false">(F16-G16)*IFERROR(INDEX(Settings_FX!$C$16:$I$27,MATCH(TEXT(B16,"mmm-yy"),Settings_FX!$B$16:$B$27,0),MATCH(H16,Settings_FX!$C$15:$I$15,0)),1)</f>
        <v>16346</v>
      </c>
      <c r="J16" s="96" t="s">
        <v>303</v>
      </c>
      <c r="K16" s="98" t="str">
        <f aca="false">TEXT(B16,"mmm-yy")</f>
        <v>Jan-25</v>
      </c>
      <c r="L16" s="1"/>
      <c r="M16" s="1"/>
      <c r="N16" s="1"/>
    </row>
    <row r="17" customFormat="false" ht="19.5" hidden="false" customHeight="true" outlineLevel="0" collapsed="false">
      <c r="A17" s="1"/>
      <c r="B17" s="110" t="n">
        <v>45703</v>
      </c>
      <c r="C17" s="101" t="s">
        <v>355</v>
      </c>
      <c r="D17" s="111" t="s">
        <v>356</v>
      </c>
      <c r="E17" s="111" t="s">
        <v>372</v>
      </c>
      <c r="F17" s="100" t="n">
        <v>8000</v>
      </c>
      <c r="G17" s="100" t="n">
        <v>0</v>
      </c>
      <c r="H17" s="101" t="s">
        <v>116</v>
      </c>
      <c r="I17" s="102" t="n">
        <f aca="false">(F17-G17)*IFERROR(INDEX(Settings_FX!$C$16:$I$27,MATCH(TEXT(B17,"mmm-yy"),Settings_FX!$B$16:$B$27,0),MATCH(H17,Settings_FX!$C$15:$I$15,0)),1)</f>
        <v>5944</v>
      </c>
      <c r="J17" s="101" t="s">
        <v>303</v>
      </c>
      <c r="K17" s="103" t="str">
        <f aca="false">TEXT(B17,"mmm-yy")</f>
        <v>Feb-25</v>
      </c>
      <c r="L17" s="1"/>
      <c r="M17" s="1"/>
      <c r="N17" s="1"/>
    </row>
    <row r="18" customFormat="false" ht="19.5" hidden="false" customHeight="true" outlineLevel="0" collapsed="false">
      <c r="A18" s="1"/>
      <c r="B18" s="108" t="n">
        <v>45713</v>
      </c>
      <c r="C18" s="96" t="s">
        <v>358</v>
      </c>
      <c r="D18" s="109" t="s">
        <v>359</v>
      </c>
      <c r="E18" s="109" t="s">
        <v>373</v>
      </c>
      <c r="F18" s="95" t="n">
        <v>23000</v>
      </c>
      <c r="G18" s="95" t="n">
        <v>0</v>
      </c>
      <c r="H18" s="96" t="s">
        <v>116</v>
      </c>
      <c r="I18" s="97" t="n">
        <f aca="false">(F18-G18)*IFERROR(INDEX(Settings_FX!$C$16:$I$27,MATCH(TEXT(B18,"mmm-yy"),Settings_FX!$B$16:$B$27,0),MATCH(H18,Settings_FX!$C$15:$I$15,0)),1)</f>
        <v>17089</v>
      </c>
      <c r="J18" s="96" t="s">
        <v>303</v>
      </c>
      <c r="K18" s="98" t="str">
        <f aca="false">TEXT(B18,"mmm-yy")</f>
        <v>Feb-25</v>
      </c>
      <c r="L18" s="1"/>
      <c r="M18" s="1"/>
      <c r="N18" s="1"/>
    </row>
    <row r="19" customFormat="false" ht="19.5" hidden="false" customHeight="true" outlineLevel="0" collapsed="false">
      <c r="A19" s="1"/>
      <c r="B19" s="110" t="n">
        <v>45731</v>
      </c>
      <c r="C19" s="101" t="s">
        <v>355</v>
      </c>
      <c r="D19" s="111" t="s">
        <v>356</v>
      </c>
      <c r="E19" s="111" t="s">
        <v>374</v>
      </c>
      <c r="F19" s="100" t="n">
        <v>8000</v>
      </c>
      <c r="G19" s="100" t="n">
        <v>0</v>
      </c>
      <c r="H19" s="101" t="s">
        <v>116</v>
      </c>
      <c r="I19" s="102" t="n">
        <f aca="false">(F19-G19)*IFERROR(INDEX(Settings_FX!$C$16:$I$27,MATCH(TEXT(B19,"mmm-yy"),Settings_FX!$B$16:$B$27,0),MATCH(H19,Settings_FX!$C$15:$I$15,0)),1)</f>
        <v>5944</v>
      </c>
      <c r="J19" s="101" t="s">
        <v>303</v>
      </c>
      <c r="K19" s="103" t="str">
        <f aca="false">TEXT(B19,"mmm-yy")</f>
        <v>Mar-25</v>
      </c>
      <c r="L19" s="1"/>
      <c r="M19" s="1"/>
      <c r="N19" s="1"/>
    </row>
    <row r="20" customFormat="false" ht="19.5" hidden="false" customHeight="true" outlineLevel="0" collapsed="false">
      <c r="A20" s="1"/>
      <c r="B20" s="108" t="n">
        <v>45741</v>
      </c>
      <c r="C20" s="96" t="s">
        <v>358</v>
      </c>
      <c r="D20" s="109" t="s">
        <v>359</v>
      </c>
      <c r="E20" s="109" t="s">
        <v>375</v>
      </c>
      <c r="F20" s="95" t="n">
        <v>24000</v>
      </c>
      <c r="G20" s="95" t="n">
        <v>0</v>
      </c>
      <c r="H20" s="96" t="s">
        <v>116</v>
      </c>
      <c r="I20" s="97" t="n">
        <f aca="false">(F20-G20)*IFERROR(INDEX(Settings_FX!$C$16:$I$27,MATCH(TEXT(B20,"mmm-yy"),Settings_FX!$B$16:$B$27,0),MATCH(H20,Settings_FX!$C$15:$I$15,0)),1)</f>
        <v>17832</v>
      </c>
      <c r="J20" s="96" t="s">
        <v>303</v>
      </c>
      <c r="K20" s="98" t="str">
        <f aca="false">TEXT(B20,"mmm-yy")</f>
        <v>Mar-25</v>
      </c>
      <c r="L20" s="1"/>
      <c r="M20" s="1"/>
      <c r="N20" s="1"/>
    </row>
    <row r="21" customFormat="false" ht="19.5" hidden="false" customHeight="true" outlineLevel="0" collapsed="false">
      <c r="A21" s="1"/>
      <c r="B21" s="110" t="n">
        <v>45762</v>
      </c>
      <c r="C21" s="101" t="s">
        <v>355</v>
      </c>
      <c r="D21" s="111" t="s">
        <v>356</v>
      </c>
      <c r="E21" s="111" t="s">
        <v>376</v>
      </c>
      <c r="F21" s="100" t="n">
        <v>12000</v>
      </c>
      <c r="G21" s="100" t="n">
        <v>0</v>
      </c>
      <c r="H21" s="101" t="s">
        <v>104</v>
      </c>
      <c r="I21" s="102" t="n">
        <f aca="false">(F21-G21)*IFERROR(INDEX(Settings_FX!$C$16:$I$27,MATCH(TEXT(B21,"mmm-yy"),Settings_FX!$B$16:$B$27,0),MATCH(H21,Settings_FX!$C$15:$I$15,0)),1)</f>
        <v>3267.6</v>
      </c>
      <c r="J21" s="101" t="s">
        <v>296</v>
      </c>
      <c r="K21" s="103" t="str">
        <f aca="false">TEXT(B21,"mmm-yy")</f>
        <v>Apr-25</v>
      </c>
      <c r="L21" s="1"/>
      <c r="M21" s="1"/>
      <c r="N21" s="1"/>
    </row>
    <row r="22" customFormat="false" ht="19.5" hidden="false" customHeight="true" outlineLevel="0" collapsed="false">
      <c r="A22" s="1"/>
      <c r="B22" s="108" t="n">
        <v>45767</v>
      </c>
      <c r="C22" s="96" t="s">
        <v>358</v>
      </c>
      <c r="D22" s="109" t="s">
        <v>359</v>
      </c>
      <c r="E22" s="109" t="s">
        <v>377</v>
      </c>
      <c r="F22" s="95" t="n">
        <v>52000</v>
      </c>
      <c r="G22" s="95" t="n">
        <v>0</v>
      </c>
      <c r="H22" s="96" t="s">
        <v>104</v>
      </c>
      <c r="I22" s="97" t="n">
        <f aca="false">(F22-G22)*IFERROR(INDEX(Settings_FX!$C$16:$I$27,MATCH(TEXT(B22,"mmm-yy"),Settings_FX!$B$16:$B$27,0),MATCH(H22,Settings_FX!$C$15:$I$15,0)),1)</f>
        <v>14159.6</v>
      </c>
      <c r="J22" s="96" t="s">
        <v>296</v>
      </c>
      <c r="K22" s="98" t="str">
        <f aca="false">TEXT(B22,"mmm-yy")</f>
        <v>Apr-25</v>
      </c>
      <c r="L22" s="1"/>
      <c r="M22" s="1"/>
      <c r="N22" s="1"/>
    </row>
    <row r="23" customFormat="false" ht="19.5" hidden="false" customHeight="true" outlineLevel="0" collapsed="false">
      <c r="A23" s="1"/>
      <c r="B23" s="110" t="n">
        <v>45762</v>
      </c>
      <c r="C23" s="101" t="s">
        <v>355</v>
      </c>
      <c r="D23" s="111" t="s">
        <v>356</v>
      </c>
      <c r="E23" s="111" t="s">
        <v>378</v>
      </c>
      <c r="F23" s="100" t="n">
        <v>8000</v>
      </c>
      <c r="G23" s="100" t="n">
        <v>0</v>
      </c>
      <c r="H23" s="101" t="s">
        <v>116</v>
      </c>
      <c r="I23" s="102" t="n">
        <f aca="false">(F23-G23)*IFERROR(INDEX(Settings_FX!$C$16:$I$27,MATCH(TEXT(B23,"mmm-yy"),Settings_FX!$B$16:$B$27,0),MATCH(H23,Settings_FX!$C$15:$I$15,0)),1)</f>
        <v>5948</v>
      </c>
      <c r="J23" s="101" t="s">
        <v>303</v>
      </c>
      <c r="K23" s="103" t="str">
        <f aca="false">TEXT(B23,"mmm-yy")</f>
        <v>Apr-25</v>
      </c>
      <c r="L23" s="1"/>
      <c r="M23" s="1"/>
      <c r="N23" s="1"/>
    </row>
    <row r="24" customFormat="false" ht="19.5" hidden="false" customHeight="true" outlineLevel="0" collapsed="false">
      <c r="A24" s="1"/>
      <c r="B24" s="108" t="n">
        <v>45772</v>
      </c>
      <c r="C24" s="96" t="s">
        <v>358</v>
      </c>
      <c r="D24" s="109" t="s">
        <v>359</v>
      </c>
      <c r="E24" s="109" t="s">
        <v>379</v>
      </c>
      <c r="F24" s="95" t="n">
        <v>25000</v>
      </c>
      <c r="G24" s="95" t="n">
        <v>0</v>
      </c>
      <c r="H24" s="96" t="s">
        <v>116</v>
      </c>
      <c r="I24" s="97" t="n">
        <f aca="false">(F24-G24)*IFERROR(INDEX(Settings_FX!$C$16:$I$27,MATCH(TEXT(B24,"mmm-yy"),Settings_FX!$B$16:$B$27,0),MATCH(H24,Settings_FX!$C$15:$I$15,0)),1)</f>
        <v>18587.5</v>
      </c>
      <c r="J24" s="96" t="s">
        <v>303</v>
      </c>
      <c r="K24" s="98" t="str">
        <f aca="false">TEXT(B24,"mmm-yy")</f>
        <v>Apr-25</v>
      </c>
      <c r="L24" s="1"/>
      <c r="M24" s="1"/>
      <c r="N24" s="1"/>
    </row>
    <row r="25" customFormat="false" ht="19.5" hidden="false" customHeight="true" outlineLevel="0" collapsed="false">
      <c r="A25" s="1"/>
      <c r="B25" s="110" t="n">
        <v>45792</v>
      </c>
      <c r="C25" s="101" t="s">
        <v>355</v>
      </c>
      <c r="D25" s="111" t="s">
        <v>356</v>
      </c>
      <c r="E25" s="111" t="s">
        <v>380</v>
      </c>
      <c r="F25" s="100" t="n">
        <v>12000</v>
      </c>
      <c r="G25" s="100" t="n">
        <v>0</v>
      </c>
      <c r="H25" s="101" t="s">
        <v>104</v>
      </c>
      <c r="I25" s="102" t="n">
        <f aca="false">(F25-G25)*IFERROR(INDEX(Settings_FX!$C$16:$I$27,MATCH(TEXT(B25,"mmm-yy"),Settings_FX!$B$16:$B$27,0),MATCH(H25,Settings_FX!$C$15:$I$15,0)),1)</f>
        <v>3267.6</v>
      </c>
      <c r="J25" s="101" t="s">
        <v>296</v>
      </c>
      <c r="K25" s="103" t="str">
        <f aca="false">TEXT(B25,"mmm-yy")</f>
        <v>May-25</v>
      </c>
      <c r="L25" s="1"/>
      <c r="M25" s="1"/>
      <c r="N25" s="1"/>
    </row>
    <row r="26" customFormat="false" ht="19.5" hidden="false" customHeight="true" outlineLevel="0" collapsed="false">
      <c r="A26" s="1"/>
      <c r="B26" s="108" t="n">
        <v>45797</v>
      </c>
      <c r="C26" s="96" t="s">
        <v>358</v>
      </c>
      <c r="D26" s="109" t="s">
        <v>359</v>
      </c>
      <c r="E26" s="109" t="s">
        <v>381</v>
      </c>
      <c r="F26" s="95" t="n">
        <v>55000</v>
      </c>
      <c r="G26" s="95" t="n">
        <v>0</v>
      </c>
      <c r="H26" s="96" t="s">
        <v>104</v>
      </c>
      <c r="I26" s="97" t="n">
        <f aca="false">(F26-G26)*IFERROR(INDEX(Settings_FX!$C$16:$I$27,MATCH(TEXT(B26,"mmm-yy"),Settings_FX!$B$16:$B$27,0),MATCH(H26,Settings_FX!$C$15:$I$15,0)),1)</f>
        <v>14976.5</v>
      </c>
      <c r="J26" s="96" t="s">
        <v>296</v>
      </c>
      <c r="K26" s="98" t="str">
        <f aca="false">TEXT(B26,"mmm-yy")</f>
        <v>May-25</v>
      </c>
      <c r="L26" s="1"/>
      <c r="M26" s="1"/>
      <c r="N26" s="1"/>
    </row>
    <row r="27" customFormat="false" ht="19.5" hidden="false" customHeight="true" outlineLevel="0" collapsed="false">
      <c r="A27" s="1"/>
      <c r="B27" s="110" t="n">
        <v>45823</v>
      </c>
      <c r="C27" s="101" t="s">
        <v>355</v>
      </c>
      <c r="D27" s="111" t="s">
        <v>356</v>
      </c>
      <c r="E27" s="111" t="s">
        <v>382</v>
      </c>
      <c r="F27" s="100" t="n">
        <v>12000</v>
      </c>
      <c r="G27" s="100" t="n">
        <v>0</v>
      </c>
      <c r="H27" s="101" t="s">
        <v>104</v>
      </c>
      <c r="I27" s="102" t="n">
        <f aca="false">(F27-G27)*IFERROR(INDEX(Settings_FX!$C$16:$I$27,MATCH(TEXT(B27,"mmm-yy"),Settings_FX!$B$16:$B$27,0),MATCH(H27,Settings_FX!$C$15:$I$15,0)),1)</f>
        <v>3267.6</v>
      </c>
      <c r="J27" s="101" t="s">
        <v>296</v>
      </c>
      <c r="K27" s="103" t="str">
        <f aca="false">TEXT(B27,"mmm-yy")</f>
        <v>Jun-25</v>
      </c>
      <c r="L27" s="1"/>
      <c r="M27" s="1"/>
      <c r="N27" s="1"/>
    </row>
    <row r="28" customFormat="false" ht="19.5" hidden="false" customHeight="true" outlineLevel="0" collapsed="false">
      <c r="A28" s="1"/>
      <c r="B28" s="108" t="n">
        <v>45828</v>
      </c>
      <c r="C28" s="96" t="s">
        <v>358</v>
      </c>
      <c r="D28" s="109" t="s">
        <v>359</v>
      </c>
      <c r="E28" s="109" t="s">
        <v>383</v>
      </c>
      <c r="F28" s="95" t="n">
        <v>58000</v>
      </c>
      <c r="G28" s="95" t="n">
        <v>0</v>
      </c>
      <c r="H28" s="96" t="s">
        <v>104</v>
      </c>
      <c r="I28" s="97" t="n">
        <f aca="false">(F28-G28)*IFERROR(INDEX(Settings_FX!$C$16:$I$27,MATCH(TEXT(B28,"mmm-yy"),Settings_FX!$B$16:$B$27,0),MATCH(H28,Settings_FX!$C$15:$I$15,0)),1)</f>
        <v>15793.4</v>
      </c>
      <c r="J28" s="96" t="s">
        <v>296</v>
      </c>
      <c r="K28" s="98" t="str">
        <f aca="false">TEXT(B28,"mmm-yy")</f>
        <v>Jun-25</v>
      </c>
      <c r="L28" s="1"/>
      <c r="M28" s="1"/>
      <c r="N28" s="1"/>
    </row>
    <row r="29" customFormat="false" ht="19.5" hidden="false" customHeight="true" outlineLevel="0" collapsed="false">
      <c r="A29" s="1"/>
      <c r="B29" s="110" t="n">
        <v>45853</v>
      </c>
      <c r="C29" s="101" t="s">
        <v>355</v>
      </c>
      <c r="D29" s="111" t="s">
        <v>356</v>
      </c>
      <c r="E29" s="111" t="s">
        <v>384</v>
      </c>
      <c r="F29" s="100" t="n">
        <v>12500</v>
      </c>
      <c r="G29" s="100" t="n">
        <v>0</v>
      </c>
      <c r="H29" s="101" t="s">
        <v>104</v>
      </c>
      <c r="I29" s="102" t="n">
        <f aca="false">(F29-G29)*IFERROR(INDEX(Settings_FX!$C$16:$I$27,MATCH(TEXT(B29,"mmm-yy"),Settings_FX!$B$16:$B$27,0),MATCH(H29,Settings_FX!$C$15:$I$15,0)),1)</f>
        <v>3403.75</v>
      </c>
      <c r="J29" s="101" t="s">
        <v>296</v>
      </c>
      <c r="K29" s="103" t="str">
        <f aca="false">TEXT(B29,"mmm-yy")</f>
        <v>Jul-25</v>
      </c>
      <c r="L29" s="1"/>
      <c r="M29" s="1"/>
      <c r="N29" s="1"/>
    </row>
    <row r="30" customFormat="false" ht="19.5" hidden="false" customHeight="true" outlineLevel="0" collapsed="false">
      <c r="A30" s="1"/>
      <c r="B30" s="108" t="n">
        <v>45858</v>
      </c>
      <c r="C30" s="96" t="s">
        <v>358</v>
      </c>
      <c r="D30" s="109" t="s">
        <v>359</v>
      </c>
      <c r="E30" s="109" t="s">
        <v>385</v>
      </c>
      <c r="F30" s="95" t="n">
        <v>62000</v>
      </c>
      <c r="G30" s="95" t="n">
        <v>0</v>
      </c>
      <c r="H30" s="96" t="s">
        <v>104</v>
      </c>
      <c r="I30" s="97" t="n">
        <f aca="false">(F30-G30)*IFERROR(INDEX(Settings_FX!$C$16:$I$27,MATCH(TEXT(B30,"mmm-yy"),Settings_FX!$B$16:$B$27,0),MATCH(H30,Settings_FX!$C$15:$I$15,0)),1)</f>
        <v>16882.6</v>
      </c>
      <c r="J30" s="96" t="s">
        <v>296</v>
      </c>
      <c r="K30" s="98" t="str">
        <f aca="false">TEXT(B30,"mmm-yy")</f>
        <v>Jul-25</v>
      </c>
      <c r="L30" s="1"/>
      <c r="M30" s="1"/>
      <c r="N30" s="1"/>
    </row>
    <row r="31" customFormat="false" ht="24" hidden="false" customHeight="true" outlineLevel="0" collapsed="false">
      <c r="A31" s="1"/>
      <c r="B31" s="40" t="s">
        <v>145</v>
      </c>
      <c r="C31" s="56"/>
      <c r="D31" s="56"/>
      <c r="E31" s="56"/>
      <c r="F31" s="55" t="n">
        <f aca="false">SUM(F6:F30)</f>
        <v>587000</v>
      </c>
      <c r="G31" s="55" t="n">
        <f aca="false">SUM(G6:G30)</f>
        <v>0</v>
      </c>
      <c r="H31" s="56"/>
      <c r="I31" s="55" t="n">
        <f aca="false">SUM(I6:I30)</f>
        <v>219164.8</v>
      </c>
      <c r="J31" s="56"/>
      <c r="K31" s="56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2">
    <mergeCell ref="B2:K2"/>
    <mergeCell ref="B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23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7.5" hidden="false" customHeight="true" outlineLevel="0" collapsed="false">
      <c r="A2" s="1"/>
      <c r="B2" s="2" t="s">
        <v>386</v>
      </c>
      <c r="C2" s="2"/>
      <c r="D2" s="2"/>
      <c r="E2" s="2"/>
      <c r="F2" s="2"/>
      <c r="G2" s="2"/>
      <c r="H2" s="2"/>
      <c r="I2" s="2"/>
      <c r="J2" s="2"/>
      <c r="K2" s="1"/>
      <c r="L2" s="1"/>
      <c r="M2" s="1"/>
      <c r="N2" s="1"/>
    </row>
    <row r="3" customFormat="false" ht="18" hidden="false" customHeight="true" outlineLevel="0" collapsed="false">
      <c r="A3" s="1"/>
      <c r="B3" s="3" t="s">
        <v>387</v>
      </c>
      <c r="C3" s="3"/>
      <c r="D3" s="3"/>
      <c r="E3" s="3"/>
      <c r="F3" s="3"/>
      <c r="G3" s="3"/>
      <c r="H3" s="3"/>
      <c r="I3" s="3"/>
      <c r="J3" s="3"/>
      <c r="K3" s="1"/>
      <c r="L3" s="1"/>
      <c r="M3" s="1"/>
      <c r="N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27.75" hidden="false" customHeight="true" outlineLevel="0" collapsed="false">
      <c r="A5" s="1"/>
      <c r="B5" s="23" t="s">
        <v>286</v>
      </c>
      <c r="C5" s="23" t="s">
        <v>179</v>
      </c>
      <c r="D5" s="23" t="s">
        <v>388</v>
      </c>
      <c r="E5" s="23" t="s">
        <v>353</v>
      </c>
      <c r="F5" s="23" t="s">
        <v>354</v>
      </c>
      <c r="G5" s="23" t="s">
        <v>98</v>
      </c>
      <c r="H5" s="23" t="s">
        <v>288</v>
      </c>
      <c r="I5" s="23" t="s">
        <v>293</v>
      </c>
      <c r="J5" s="23" t="s">
        <v>57</v>
      </c>
      <c r="K5" s="1"/>
      <c r="L5" s="1"/>
      <c r="M5" s="1"/>
      <c r="N5" s="1"/>
    </row>
    <row r="6" customFormat="false" ht="19.5" hidden="false" customHeight="true" outlineLevel="0" collapsed="false">
      <c r="A6" s="1"/>
      <c r="B6" s="108" t="n">
        <v>45660</v>
      </c>
      <c r="C6" s="109" t="s">
        <v>389</v>
      </c>
      <c r="D6" s="109" t="s">
        <v>390</v>
      </c>
      <c r="E6" s="95" t="n">
        <v>0</v>
      </c>
      <c r="F6" s="95" t="n">
        <v>28145.5</v>
      </c>
      <c r="G6" s="96" t="s">
        <v>104</v>
      </c>
      <c r="H6" s="97" t="n">
        <f aca="false">(F6-E6)*IFERROR(INDEX(Settings_FX!$C$16:$I$27,MATCH(TEXT(B6,"mmm-yy"),Settings_FX!$B$16:$B$27,0),MATCH(G6,Settings_FX!$C$15:$I$15,0)),1)</f>
        <v>7664.01965</v>
      </c>
      <c r="I6" s="96" t="s">
        <v>296</v>
      </c>
      <c r="J6" s="98" t="str">
        <f aca="false">TEXT(B6,"mmm-yy")</f>
        <v>Jan-25</v>
      </c>
      <c r="K6" s="1"/>
      <c r="L6" s="1"/>
      <c r="M6" s="1"/>
      <c r="N6" s="1"/>
    </row>
    <row r="7" customFormat="false" ht="19.5" hidden="false" customHeight="true" outlineLevel="0" collapsed="false">
      <c r="A7" s="1"/>
      <c r="B7" s="110" t="n">
        <v>45662</v>
      </c>
      <c r="C7" s="111" t="s">
        <v>391</v>
      </c>
      <c r="D7" s="111" t="s">
        <v>392</v>
      </c>
      <c r="E7" s="100" t="n">
        <v>0</v>
      </c>
      <c r="F7" s="100" t="n">
        <v>6602.2</v>
      </c>
      <c r="G7" s="101" t="s">
        <v>107</v>
      </c>
      <c r="H7" s="102" t="n">
        <f aca="false">(F7-E7)*IFERROR(INDEX(Settings_FX!$C$16:$I$27,MATCH(TEXT(B7,"mmm-yy"),Settings_FX!$B$16:$B$27,0),MATCH(G7,Settings_FX!$C$15:$I$15,0)),1)</f>
        <v>6602.2</v>
      </c>
      <c r="I7" s="101" t="s">
        <v>303</v>
      </c>
      <c r="J7" s="103" t="str">
        <f aca="false">TEXT(B7,"mmm-yy")</f>
        <v>Jan-25</v>
      </c>
      <c r="K7" s="1"/>
      <c r="L7" s="1"/>
      <c r="M7" s="1"/>
      <c r="N7" s="1"/>
    </row>
    <row r="8" customFormat="false" ht="19.5" hidden="false" customHeight="true" outlineLevel="0" collapsed="false">
      <c r="A8" s="1"/>
      <c r="B8" s="108" t="n">
        <v>45667</v>
      </c>
      <c r="C8" s="109" t="s">
        <v>393</v>
      </c>
      <c r="D8" s="109" t="s">
        <v>390</v>
      </c>
      <c r="E8" s="95" t="n">
        <v>100</v>
      </c>
      <c r="F8" s="95" t="n">
        <v>0</v>
      </c>
      <c r="G8" s="96" t="s">
        <v>104</v>
      </c>
      <c r="H8" s="97" t="n">
        <f aca="false">(F8-E8)*IFERROR(INDEX(Settings_FX!$C$16:$I$27,MATCH(TEXT(B8,"mmm-yy"),Settings_FX!$B$16:$B$27,0),MATCH(G8,Settings_FX!$C$15:$I$15,0)),1)</f>
        <v>-27.23</v>
      </c>
      <c r="I8" s="96" t="s">
        <v>296</v>
      </c>
      <c r="J8" s="98" t="str">
        <f aca="false">TEXT(B8,"mmm-yy")</f>
        <v>Jan-25</v>
      </c>
      <c r="K8" s="1"/>
      <c r="L8" s="1"/>
      <c r="M8" s="1"/>
      <c r="N8" s="1"/>
    </row>
    <row r="9" customFormat="false" ht="19.5" hidden="false" customHeight="true" outlineLevel="0" collapsed="false">
      <c r="A9" s="1"/>
      <c r="B9" s="110" t="n">
        <v>45669</v>
      </c>
      <c r="C9" s="111" t="s">
        <v>394</v>
      </c>
      <c r="D9" s="111" t="s">
        <v>392</v>
      </c>
      <c r="E9" s="100" t="n">
        <v>35</v>
      </c>
      <c r="F9" s="100" t="n">
        <v>0</v>
      </c>
      <c r="G9" s="101" t="s">
        <v>116</v>
      </c>
      <c r="H9" s="102" t="n">
        <f aca="false">(F9-E9)*IFERROR(INDEX(Settings_FX!$C$16:$I$27,MATCH(TEXT(B9,"mmm-yy"),Settings_FX!$B$16:$B$27,0),MATCH(G9,Settings_FX!$C$15:$I$15,0)),1)</f>
        <v>-26.005</v>
      </c>
      <c r="I9" s="101" t="s">
        <v>303</v>
      </c>
      <c r="J9" s="103" t="str">
        <f aca="false">TEXT(B9,"mmm-yy")</f>
        <v>Jan-25</v>
      </c>
      <c r="K9" s="1"/>
      <c r="L9" s="1"/>
      <c r="M9" s="1"/>
      <c r="N9" s="1"/>
    </row>
    <row r="10" customFormat="false" ht="19.5" hidden="false" customHeight="true" outlineLevel="0" collapsed="false">
      <c r="A10" s="1"/>
      <c r="B10" s="108" t="n">
        <v>45691</v>
      </c>
      <c r="C10" s="109" t="s">
        <v>395</v>
      </c>
      <c r="D10" s="109" t="s">
        <v>390</v>
      </c>
      <c r="E10" s="95" t="n">
        <v>0</v>
      </c>
      <c r="F10" s="95" t="n">
        <v>13475</v>
      </c>
      <c r="G10" s="96" t="s">
        <v>104</v>
      </c>
      <c r="H10" s="97" t="n">
        <f aca="false">(F10-E10)*IFERROR(INDEX(Settings_FX!$C$16:$I$27,MATCH(TEXT(B10,"mmm-yy"),Settings_FX!$B$16:$B$27,0),MATCH(G10,Settings_FX!$C$15:$I$15,0)),1)</f>
        <v>3669.2425</v>
      </c>
      <c r="I10" s="96" t="s">
        <v>296</v>
      </c>
      <c r="J10" s="98" t="str">
        <f aca="false">TEXT(B10,"mmm-yy")</f>
        <v>Feb-25</v>
      </c>
      <c r="K10" s="1"/>
      <c r="L10" s="1"/>
      <c r="M10" s="1"/>
      <c r="N10" s="1"/>
    </row>
    <row r="11" customFormat="false" ht="19.5" hidden="false" customHeight="true" outlineLevel="0" collapsed="false">
      <c r="A11" s="1"/>
      <c r="B11" s="110" t="n">
        <v>45693</v>
      </c>
      <c r="C11" s="111" t="s">
        <v>396</v>
      </c>
      <c r="D11" s="111" t="s">
        <v>392</v>
      </c>
      <c r="E11" s="100" t="n">
        <v>0</v>
      </c>
      <c r="F11" s="100" t="n">
        <v>11651.7</v>
      </c>
      <c r="G11" s="101" t="s">
        <v>107</v>
      </c>
      <c r="H11" s="102" t="n">
        <f aca="false">(F11-E11)*IFERROR(INDEX(Settings_FX!$C$16:$I$27,MATCH(TEXT(B11,"mmm-yy"),Settings_FX!$B$16:$B$27,0),MATCH(G11,Settings_FX!$C$15:$I$15,0)),1)</f>
        <v>11651.7</v>
      </c>
      <c r="I11" s="101" t="s">
        <v>303</v>
      </c>
      <c r="J11" s="103" t="str">
        <f aca="false">TEXT(B11,"mmm-yy")</f>
        <v>Feb-25</v>
      </c>
      <c r="K11" s="1"/>
      <c r="L11" s="1"/>
      <c r="M11" s="1"/>
      <c r="N11" s="1"/>
    </row>
    <row r="12" customFormat="false" ht="19.5" hidden="false" customHeight="true" outlineLevel="0" collapsed="false">
      <c r="A12" s="1"/>
      <c r="B12" s="108" t="n">
        <v>45698</v>
      </c>
      <c r="C12" s="109" t="s">
        <v>393</v>
      </c>
      <c r="D12" s="109" t="s">
        <v>390</v>
      </c>
      <c r="E12" s="95" t="n">
        <v>100</v>
      </c>
      <c r="F12" s="95" t="n">
        <v>0</v>
      </c>
      <c r="G12" s="96" t="s">
        <v>104</v>
      </c>
      <c r="H12" s="97" t="n">
        <f aca="false">(F12-E12)*IFERROR(INDEX(Settings_FX!$C$16:$I$27,MATCH(TEXT(B12,"mmm-yy"),Settings_FX!$B$16:$B$27,0),MATCH(G12,Settings_FX!$C$15:$I$15,0)),1)</f>
        <v>-27.23</v>
      </c>
      <c r="I12" s="96" t="s">
        <v>296</v>
      </c>
      <c r="J12" s="98" t="str">
        <f aca="false">TEXT(B12,"mmm-yy")</f>
        <v>Feb-25</v>
      </c>
      <c r="K12" s="1"/>
      <c r="L12" s="1"/>
      <c r="M12" s="1"/>
      <c r="N12" s="1"/>
    </row>
    <row r="13" customFormat="false" ht="19.5" hidden="false" customHeight="true" outlineLevel="0" collapsed="false">
      <c r="A13" s="1"/>
      <c r="B13" s="110" t="n">
        <v>45719</v>
      </c>
      <c r="C13" s="111" t="s">
        <v>397</v>
      </c>
      <c r="D13" s="111" t="s">
        <v>390</v>
      </c>
      <c r="E13" s="100" t="n">
        <v>0</v>
      </c>
      <c r="F13" s="100" t="n">
        <v>16833.3</v>
      </c>
      <c r="G13" s="101" t="s">
        <v>104</v>
      </c>
      <c r="H13" s="102" t="n">
        <f aca="false">(F13-E13)*IFERROR(INDEX(Settings_FX!$C$16:$I$27,MATCH(TEXT(B13,"mmm-yy"),Settings_FX!$B$16:$B$27,0),MATCH(G13,Settings_FX!$C$15:$I$15,0)),1)</f>
        <v>4583.70759</v>
      </c>
      <c r="I13" s="101" t="s">
        <v>296</v>
      </c>
      <c r="J13" s="103" t="str">
        <f aca="false">TEXT(B13,"mmm-yy")</f>
        <v>Mar-25</v>
      </c>
      <c r="K13" s="1"/>
      <c r="L13" s="1"/>
      <c r="M13" s="1"/>
      <c r="N13" s="1"/>
    </row>
    <row r="14" customFormat="false" ht="19.5" hidden="false" customHeight="true" outlineLevel="0" collapsed="false">
      <c r="A14" s="1"/>
      <c r="B14" s="108" t="n">
        <v>45721</v>
      </c>
      <c r="C14" s="109" t="s">
        <v>398</v>
      </c>
      <c r="D14" s="109" t="s">
        <v>392</v>
      </c>
      <c r="E14" s="95" t="n">
        <v>0</v>
      </c>
      <c r="F14" s="95" t="n">
        <v>15049.9</v>
      </c>
      <c r="G14" s="96" t="s">
        <v>107</v>
      </c>
      <c r="H14" s="97" t="n">
        <f aca="false">(F14-E14)*IFERROR(INDEX(Settings_FX!$C$16:$I$27,MATCH(TEXT(B14,"mmm-yy"),Settings_FX!$B$16:$B$27,0),MATCH(G14,Settings_FX!$C$15:$I$15,0)),1)</f>
        <v>15049.9</v>
      </c>
      <c r="I14" s="96" t="s">
        <v>303</v>
      </c>
      <c r="J14" s="98" t="str">
        <f aca="false">TEXT(B14,"mmm-yy")</f>
        <v>Mar-25</v>
      </c>
      <c r="K14" s="1"/>
      <c r="L14" s="1"/>
      <c r="M14" s="1"/>
      <c r="N14" s="1"/>
    </row>
    <row r="15" customFormat="false" ht="19.5" hidden="false" customHeight="true" outlineLevel="0" collapsed="false">
      <c r="A15" s="1"/>
      <c r="B15" s="110" t="n">
        <v>45728</v>
      </c>
      <c r="C15" s="111" t="s">
        <v>393</v>
      </c>
      <c r="D15" s="111" t="s">
        <v>390</v>
      </c>
      <c r="E15" s="100" t="n">
        <v>100</v>
      </c>
      <c r="F15" s="100" t="n">
        <v>0</v>
      </c>
      <c r="G15" s="101" t="s">
        <v>104</v>
      </c>
      <c r="H15" s="102" t="n">
        <f aca="false">(F15-E15)*IFERROR(INDEX(Settings_FX!$C$16:$I$27,MATCH(TEXT(B15,"mmm-yy"),Settings_FX!$B$16:$B$27,0),MATCH(G15,Settings_FX!$C$15:$I$15,0)),1)</f>
        <v>-27.23</v>
      </c>
      <c r="I15" s="101" t="s">
        <v>296</v>
      </c>
      <c r="J15" s="103" t="str">
        <f aca="false">TEXT(B15,"mmm-yy")</f>
        <v>Mar-25</v>
      </c>
      <c r="K15" s="1"/>
      <c r="L15" s="1"/>
      <c r="M15" s="1"/>
      <c r="N15" s="1"/>
    </row>
    <row r="16" customFormat="false" ht="19.5" hidden="false" customHeight="true" outlineLevel="0" collapsed="false">
      <c r="A16" s="1"/>
      <c r="B16" s="108" t="n">
        <v>45750</v>
      </c>
      <c r="C16" s="109" t="s">
        <v>399</v>
      </c>
      <c r="D16" s="109" t="s">
        <v>390</v>
      </c>
      <c r="E16" s="95" t="n">
        <v>0</v>
      </c>
      <c r="F16" s="95" t="n">
        <v>8143.9</v>
      </c>
      <c r="G16" s="96" t="s">
        <v>104</v>
      </c>
      <c r="H16" s="97" t="n">
        <f aca="false">(F16-E16)*IFERROR(INDEX(Settings_FX!$C$16:$I$27,MATCH(TEXT(B16,"mmm-yy"),Settings_FX!$B$16:$B$27,0),MATCH(G16,Settings_FX!$C$15:$I$15,0)),1)</f>
        <v>2217.58397</v>
      </c>
      <c r="I16" s="96" t="s">
        <v>296</v>
      </c>
      <c r="J16" s="98" t="str">
        <f aca="false">TEXT(B16,"mmm-yy")</f>
        <v>Apr-25</v>
      </c>
      <c r="K16" s="1"/>
      <c r="L16" s="1"/>
      <c r="M16" s="1"/>
      <c r="N16" s="1"/>
    </row>
    <row r="17" customFormat="false" ht="19.5" hidden="false" customHeight="true" outlineLevel="0" collapsed="false">
      <c r="A17" s="1"/>
      <c r="B17" s="110" t="n">
        <v>45757</v>
      </c>
      <c r="C17" s="111" t="s">
        <v>393</v>
      </c>
      <c r="D17" s="111" t="s">
        <v>390</v>
      </c>
      <c r="E17" s="100" t="n">
        <v>100</v>
      </c>
      <c r="F17" s="100" t="n">
        <v>0</v>
      </c>
      <c r="G17" s="101" t="s">
        <v>104</v>
      </c>
      <c r="H17" s="102" t="n">
        <f aca="false">(F17-E17)*IFERROR(INDEX(Settings_FX!$C$16:$I$27,MATCH(TEXT(B17,"mmm-yy"),Settings_FX!$B$16:$B$27,0),MATCH(G17,Settings_FX!$C$15:$I$15,0)),1)</f>
        <v>-27.23</v>
      </c>
      <c r="I17" s="101" t="s">
        <v>296</v>
      </c>
      <c r="J17" s="103" t="str">
        <f aca="false">TEXT(B17,"mmm-yy")</f>
        <v>Apr-25</v>
      </c>
      <c r="K17" s="1"/>
      <c r="L17" s="1"/>
      <c r="M17" s="1"/>
      <c r="N17" s="1"/>
    </row>
    <row r="18" customFormat="false" ht="19.5" hidden="false" customHeight="true" outlineLevel="0" collapsed="false">
      <c r="A18" s="1"/>
      <c r="B18" s="108" t="n">
        <v>45780</v>
      </c>
      <c r="C18" s="109" t="s">
        <v>400</v>
      </c>
      <c r="D18" s="109" t="s">
        <v>390</v>
      </c>
      <c r="E18" s="95" t="n">
        <v>0</v>
      </c>
      <c r="F18" s="95" t="n">
        <v>10842.9</v>
      </c>
      <c r="G18" s="96" t="s">
        <v>104</v>
      </c>
      <c r="H18" s="97" t="n">
        <f aca="false">(F18-E18)*IFERROR(INDEX(Settings_FX!$C$16:$I$27,MATCH(TEXT(B18,"mmm-yy"),Settings_FX!$B$16:$B$27,0),MATCH(G18,Settings_FX!$C$15:$I$15,0)),1)</f>
        <v>2952.52167</v>
      </c>
      <c r="I18" s="96" t="s">
        <v>296</v>
      </c>
      <c r="J18" s="98" t="str">
        <f aca="false">TEXT(B18,"mmm-yy")</f>
        <v>May-25</v>
      </c>
      <c r="K18" s="1"/>
      <c r="L18" s="1"/>
      <c r="M18" s="1"/>
      <c r="N18" s="1"/>
    </row>
    <row r="19" customFormat="false" ht="19.5" hidden="false" customHeight="true" outlineLevel="0" collapsed="false">
      <c r="A19" s="1"/>
      <c r="B19" s="110" t="n">
        <v>45782</v>
      </c>
      <c r="C19" s="111" t="s">
        <v>401</v>
      </c>
      <c r="D19" s="111" t="s">
        <v>392</v>
      </c>
      <c r="E19" s="100" t="n">
        <v>0</v>
      </c>
      <c r="F19" s="100" t="n">
        <v>8253.1</v>
      </c>
      <c r="G19" s="101" t="s">
        <v>107</v>
      </c>
      <c r="H19" s="102" t="n">
        <f aca="false">(F19-E19)*IFERROR(INDEX(Settings_FX!$C$16:$I$27,MATCH(TEXT(B19,"mmm-yy"),Settings_FX!$B$16:$B$27,0),MATCH(G19,Settings_FX!$C$15:$I$15,0)),1)</f>
        <v>8253.1</v>
      </c>
      <c r="I19" s="101" t="s">
        <v>303</v>
      </c>
      <c r="J19" s="103" t="str">
        <f aca="false">TEXT(B19,"mmm-yy")</f>
        <v>May-25</v>
      </c>
      <c r="K19" s="1"/>
      <c r="L19" s="1"/>
      <c r="M19" s="1"/>
      <c r="N19" s="1"/>
    </row>
    <row r="20" customFormat="false" ht="19.5" hidden="false" customHeight="true" outlineLevel="0" collapsed="false">
      <c r="A20" s="1"/>
      <c r="B20" s="108" t="n">
        <v>45811</v>
      </c>
      <c r="C20" s="109" t="s">
        <v>402</v>
      </c>
      <c r="D20" s="109" t="s">
        <v>390</v>
      </c>
      <c r="E20" s="95" t="n">
        <v>0</v>
      </c>
      <c r="F20" s="95" t="n">
        <v>34512.8</v>
      </c>
      <c r="G20" s="96" t="s">
        <v>104</v>
      </c>
      <c r="H20" s="97" t="n">
        <f aca="false">(F20-E20)*IFERROR(INDEX(Settings_FX!$C$16:$I$27,MATCH(TEXT(B20,"mmm-yy"),Settings_FX!$B$16:$B$27,0),MATCH(G20,Settings_FX!$C$15:$I$15,0)),1)</f>
        <v>9397.83544</v>
      </c>
      <c r="I20" s="96" t="s">
        <v>296</v>
      </c>
      <c r="J20" s="98" t="str">
        <f aca="false">TEXT(B20,"mmm-yy")</f>
        <v>Jun-25</v>
      </c>
      <c r="K20" s="1"/>
      <c r="L20" s="1"/>
      <c r="M20" s="1"/>
      <c r="N20" s="1"/>
    </row>
    <row r="21" customFormat="false" ht="19.5" hidden="false" customHeight="true" outlineLevel="0" collapsed="false">
      <c r="A21" s="1"/>
      <c r="B21" s="110" t="n">
        <v>45818</v>
      </c>
      <c r="C21" s="111" t="s">
        <v>393</v>
      </c>
      <c r="D21" s="111" t="s">
        <v>390</v>
      </c>
      <c r="E21" s="100" t="n">
        <v>100</v>
      </c>
      <c r="F21" s="100" t="n">
        <v>0</v>
      </c>
      <c r="G21" s="101" t="s">
        <v>104</v>
      </c>
      <c r="H21" s="102" t="n">
        <f aca="false">(F21-E21)*IFERROR(INDEX(Settings_FX!$C$16:$I$27,MATCH(TEXT(B21,"mmm-yy"),Settings_FX!$B$16:$B$27,0),MATCH(G21,Settings_FX!$C$15:$I$15,0)),1)</f>
        <v>-27.23</v>
      </c>
      <c r="I21" s="101" t="s">
        <v>296</v>
      </c>
      <c r="J21" s="103" t="str">
        <f aca="false">TEXT(B21,"mmm-yy")</f>
        <v>Jun-25</v>
      </c>
      <c r="K21" s="1"/>
      <c r="L21" s="1"/>
      <c r="M21" s="1"/>
      <c r="N21" s="1"/>
    </row>
    <row r="22" customFormat="false" ht="19.5" hidden="false" customHeight="true" outlineLevel="0" collapsed="false">
      <c r="A22" s="1"/>
      <c r="B22" s="108" t="n">
        <v>45841</v>
      </c>
      <c r="C22" s="109" t="s">
        <v>403</v>
      </c>
      <c r="D22" s="109" t="s">
        <v>390</v>
      </c>
      <c r="E22" s="95" t="n">
        <v>0</v>
      </c>
      <c r="F22" s="95" t="n">
        <v>18131.7</v>
      </c>
      <c r="G22" s="96" t="s">
        <v>104</v>
      </c>
      <c r="H22" s="97" t="n">
        <f aca="false">(F22-E22)*IFERROR(INDEX(Settings_FX!$C$16:$I$27,MATCH(TEXT(B22,"mmm-yy"),Settings_FX!$B$16:$B$27,0),MATCH(G22,Settings_FX!$C$15:$I$15,0)),1)</f>
        <v>4937.26191</v>
      </c>
      <c r="I22" s="96" t="s">
        <v>296</v>
      </c>
      <c r="J22" s="98" t="str">
        <f aca="false">TEXT(B22,"mmm-yy")</f>
        <v>Jul-25</v>
      </c>
      <c r="K22" s="1"/>
      <c r="L22" s="1"/>
      <c r="M22" s="1"/>
      <c r="N22" s="1"/>
    </row>
    <row r="23" customFormat="false" ht="19.5" hidden="false" customHeight="true" outlineLevel="0" collapsed="false">
      <c r="A23" s="1"/>
      <c r="B23" s="110" t="n">
        <v>45843</v>
      </c>
      <c r="C23" s="111" t="s">
        <v>404</v>
      </c>
      <c r="D23" s="111" t="s">
        <v>392</v>
      </c>
      <c r="E23" s="100" t="n">
        <v>0</v>
      </c>
      <c r="F23" s="100" t="n">
        <v>13092.9</v>
      </c>
      <c r="G23" s="101" t="s">
        <v>116</v>
      </c>
      <c r="H23" s="102" t="n">
        <f aca="false">(F23-E23)*IFERROR(INDEX(Settings_FX!$C$16:$I$27,MATCH(TEXT(B23,"mmm-yy"),Settings_FX!$B$16:$B$27,0),MATCH(G23,Settings_FX!$C$15:$I$15,0)),1)</f>
        <v>9747.66405</v>
      </c>
      <c r="I23" s="101" t="s">
        <v>303</v>
      </c>
      <c r="J23" s="103" t="str">
        <f aca="false">TEXT(B23,"mmm-yy")</f>
        <v>Jul-25</v>
      </c>
      <c r="K23" s="1"/>
      <c r="L23" s="1"/>
      <c r="M23" s="1"/>
      <c r="N23" s="1"/>
    </row>
    <row r="24" customFormat="false" ht="19.5" hidden="false" customHeight="true" outlineLevel="0" collapsed="false">
      <c r="A24" s="1"/>
      <c r="B24" s="108" t="n">
        <v>45872</v>
      </c>
      <c r="C24" s="109" t="s">
        <v>405</v>
      </c>
      <c r="D24" s="109" t="s">
        <v>392</v>
      </c>
      <c r="E24" s="95" t="n">
        <v>0</v>
      </c>
      <c r="F24" s="95" t="n">
        <v>3685.5</v>
      </c>
      <c r="G24" s="96" t="s">
        <v>116</v>
      </c>
      <c r="H24" s="97" t="n">
        <f aca="false">(F24-E24)*IFERROR(INDEX(Settings_FX!$C$16:$I$27,MATCH(TEXT(B24,"mmm-yy"),Settings_FX!$B$16:$B$27,0),MATCH(G24,Settings_FX!$C$15:$I$15,0)),1)</f>
        <v>2745.6975</v>
      </c>
      <c r="I24" s="96" t="s">
        <v>303</v>
      </c>
      <c r="J24" s="98" t="str">
        <f aca="false">TEXT(B24,"mmm-yy")</f>
        <v>Aug-25</v>
      </c>
      <c r="K24" s="1"/>
      <c r="L24" s="1"/>
      <c r="M24" s="1"/>
      <c r="N24" s="1"/>
    </row>
    <row r="25" customFormat="false" ht="19.5" hidden="false" customHeight="true" outlineLevel="0" collapsed="false">
      <c r="A25" s="1"/>
      <c r="B25" s="110" t="n">
        <v>45903</v>
      </c>
      <c r="C25" s="111" t="s">
        <v>406</v>
      </c>
      <c r="D25" s="111" t="s">
        <v>392</v>
      </c>
      <c r="E25" s="100" t="n">
        <v>0</v>
      </c>
      <c r="F25" s="100" t="n">
        <v>10874.8</v>
      </c>
      <c r="G25" s="101" t="s">
        <v>107</v>
      </c>
      <c r="H25" s="102" t="n">
        <f aca="false">(F25-E25)*IFERROR(INDEX(Settings_FX!$C$16:$I$27,MATCH(TEXT(B25,"mmm-yy"),Settings_FX!$B$16:$B$27,0),MATCH(G25,Settings_FX!$C$15:$I$15,0)),1)</f>
        <v>10874.8</v>
      </c>
      <c r="I25" s="101" t="s">
        <v>303</v>
      </c>
      <c r="J25" s="103" t="str">
        <f aca="false">TEXT(B25,"mmm-yy")</f>
        <v>Sep-25</v>
      </c>
      <c r="K25" s="1"/>
      <c r="L25" s="1"/>
      <c r="M25" s="1"/>
      <c r="N25" s="1"/>
    </row>
    <row r="26" customFormat="false" ht="19.5" hidden="false" customHeight="true" outlineLevel="0" collapsed="false">
      <c r="A26" s="1"/>
      <c r="B26" s="108" t="n">
        <v>45910</v>
      </c>
      <c r="C26" s="109" t="s">
        <v>393</v>
      </c>
      <c r="D26" s="109" t="s">
        <v>390</v>
      </c>
      <c r="E26" s="95" t="n">
        <v>100</v>
      </c>
      <c r="F26" s="95" t="n">
        <v>0</v>
      </c>
      <c r="G26" s="96" t="s">
        <v>104</v>
      </c>
      <c r="H26" s="97" t="n">
        <f aca="false">(F26-E26)*IFERROR(INDEX(Settings_FX!$C$16:$I$27,MATCH(TEXT(B26,"mmm-yy"),Settings_FX!$B$16:$B$27,0),MATCH(G26,Settings_FX!$C$15:$I$15,0)),1)</f>
        <v>-27.23</v>
      </c>
      <c r="I26" s="96" t="s">
        <v>296</v>
      </c>
      <c r="J26" s="98" t="str">
        <f aca="false">TEXT(B26,"mmm-yy")</f>
        <v>Sep-25</v>
      </c>
      <c r="K26" s="1"/>
      <c r="L26" s="1"/>
      <c r="M26" s="1"/>
      <c r="N26" s="1"/>
    </row>
    <row r="27" customFormat="false" ht="24" hidden="false" customHeight="true" outlineLevel="0" collapsed="false">
      <c r="A27" s="1"/>
      <c r="B27" s="40" t="s">
        <v>145</v>
      </c>
      <c r="C27" s="56"/>
      <c r="D27" s="56"/>
      <c r="E27" s="55" t="n">
        <f aca="false">SUM(E6:E26)</f>
        <v>635</v>
      </c>
      <c r="F27" s="55" t="n">
        <f aca="false">SUM(F6:F26)</f>
        <v>199295.2</v>
      </c>
      <c r="G27" s="56"/>
      <c r="H27" s="55" t="n">
        <f aca="false">SUM(H6:H26)</f>
        <v>100157.84928</v>
      </c>
      <c r="I27" s="56"/>
      <c r="J27" s="56"/>
      <c r="K27" s="1"/>
      <c r="L27" s="1"/>
      <c r="M27" s="1"/>
      <c r="N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</sheetData>
  <mergeCells count="2">
    <mergeCell ref="B2:J2"/>
    <mergeCell ref="B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77F2"/>
    <pageSetUpPr fitToPage="false"/>
  </sheetPr>
  <dimension ref="A1:P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24"/>
    <col collapsed="false" customWidth="true" hidden="false" outlineLevel="0" max="6" min="6" style="0" width="26"/>
    <col collapsed="false" customWidth="true" hidden="false" outlineLevel="0" max="9" min="7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4" min="13" style="0" width="10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7.5" hidden="false" customHeight="true" outlineLevel="0" collapsed="false">
      <c r="A2" s="1"/>
      <c r="B2" s="2" t="s">
        <v>407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</row>
    <row r="3" customFormat="false" ht="18" hidden="false" customHeight="true" outlineLevel="0" collapsed="false">
      <c r="A3" s="1"/>
      <c r="B3" s="3" t="s">
        <v>408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</row>
    <row r="4" customFormat="false" ht="19.5" hidden="false" customHeight="true" outlineLevel="0" collapsed="false">
      <c r="A4" s="1"/>
      <c r="B4" s="112" t="s">
        <v>409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"/>
      <c r="P4" s="1"/>
    </row>
    <row r="5" customFormat="false" ht="31.5" hidden="false" customHeight="true" outlineLevel="0" collapsed="false">
      <c r="A5" s="1"/>
      <c r="B5" s="23" t="s">
        <v>410</v>
      </c>
      <c r="C5" s="23" t="s">
        <v>411</v>
      </c>
      <c r="D5" s="23" t="s">
        <v>412</v>
      </c>
      <c r="E5" s="23" t="s">
        <v>93</v>
      </c>
      <c r="F5" s="23" t="s">
        <v>413</v>
      </c>
      <c r="G5" s="23" t="s">
        <v>132</v>
      </c>
      <c r="H5" s="23" t="s">
        <v>133</v>
      </c>
      <c r="I5" s="23" t="s">
        <v>134</v>
      </c>
      <c r="J5" s="23" t="s">
        <v>98</v>
      </c>
      <c r="K5" s="23" t="s">
        <v>135</v>
      </c>
      <c r="L5" s="23" t="s">
        <v>288</v>
      </c>
      <c r="M5" s="23" t="s">
        <v>293</v>
      </c>
      <c r="N5" s="23" t="s">
        <v>57</v>
      </c>
      <c r="O5" s="1"/>
      <c r="P5" s="1"/>
    </row>
    <row r="6" customFormat="false" ht="19.5" hidden="false" customHeight="true" outlineLevel="0" collapsed="false">
      <c r="A6" s="1"/>
      <c r="B6" s="96" t="s">
        <v>414</v>
      </c>
      <c r="C6" s="108" t="n">
        <v>45662</v>
      </c>
      <c r="D6" s="96" t="s">
        <v>63</v>
      </c>
      <c r="E6" s="109" t="s">
        <v>103</v>
      </c>
      <c r="F6" s="109" t="s">
        <v>415</v>
      </c>
      <c r="G6" s="95" t="n">
        <v>5200</v>
      </c>
      <c r="H6" s="95" t="n">
        <v>450</v>
      </c>
      <c r="I6" s="95" t="n">
        <v>4750</v>
      </c>
      <c r="J6" s="96" t="s">
        <v>107</v>
      </c>
      <c r="K6" s="61" t="n">
        <f aca="false">I6+H6</f>
        <v>5200</v>
      </c>
      <c r="L6" s="97" t="n">
        <f aca="false">K6*IFERROR(INDEX(Settings_FX!$C$16:$I$27,MATCH(TEXT(C6,"mmm-yy"),Settings_FX!$B$16:$B$27,0),MATCH(J6,Settings_FX!$C$15:$I$15,0)),1)</f>
        <v>5200</v>
      </c>
      <c r="M6" s="96" t="s">
        <v>296</v>
      </c>
      <c r="N6" s="98" t="str">
        <f aca="false">TEXT(C6,"mmm-yy")</f>
        <v>Jan-25</v>
      </c>
      <c r="O6" s="1"/>
      <c r="P6" s="1"/>
    </row>
    <row r="7" customFormat="false" ht="19.5" hidden="false" customHeight="true" outlineLevel="0" collapsed="false">
      <c r="A7" s="1"/>
      <c r="B7" s="101" t="s">
        <v>416</v>
      </c>
      <c r="C7" s="110" t="n">
        <v>45665</v>
      </c>
      <c r="D7" s="101" t="s">
        <v>63</v>
      </c>
      <c r="E7" s="111" t="s">
        <v>105</v>
      </c>
      <c r="F7" s="111" t="s">
        <v>417</v>
      </c>
      <c r="G7" s="100" t="n">
        <v>3800</v>
      </c>
      <c r="H7" s="100" t="n">
        <v>300</v>
      </c>
      <c r="I7" s="100" t="n">
        <v>3500</v>
      </c>
      <c r="J7" s="101" t="s">
        <v>107</v>
      </c>
      <c r="K7" s="61" t="n">
        <f aca="false">I7+H7</f>
        <v>3800</v>
      </c>
      <c r="L7" s="102" t="n">
        <f aca="false">K7*IFERROR(INDEX(Settings_FX!$C$16:$I$27,MATCH(TEXT(C7,"mmm-yy"),Settings_FX!$B$16:$B$27,0),MATCH(J7,Settings_FX!$C$15:$I$15,0)),1)</f>
        <v>3800</v>
      </c>
      <c r="M7" s="101" t="s">
        <v>296</v>
      </c>
      <c r="N7" s="103" t="str">
        <f aca="false">TEXT(C7,"mmm-yy")</f>
        <v>Jan-25</v>
      </c>
      <c r="O7" s="1"/>
      <c r="P7" s="1"/>
    </row>
    <row r="8" customFormat="false" ht="19.5" hidden="false" customHeight="true" outlineLevel="0" collapsed="false">
      <c r="A8" s="1"/>
      <c r="B8" s="96" t="s">
        <v>418</v>
      </c>
      <c r="C8" s="108" t="n">
        <v>45669</v>
      </c>
      <c r="D8" s="96" t="s">
        <v>63</v>
      </c>
      <c r="E8" s="109" t="s">
        <v>106</v>
      </c>
      <c r="F8" s="109" t="s">
        <v>419</v>
      </c>
      <c r="G8" s="95" t="n">
        <v>6500</v>
      </c>
      <c r="H8" s="95" t="n">
        <v>500</v>
      </c>
      <c r="I8" s="95" t="n">
        <v>6000</v>
      </c>
      <c r="J8" s="96" t="s">
        <v>107</v>
      </c>
      <c r="K8" s="61" t="n">
        <f aca="false">I8+H8</f>
        <v>6500</v>
      </c>
      <c r="L8" s="97" t="n">
        <f aca="false">K8*IFERROR(INDEX(Settings_FX!$C$16:$I$27,MATCH(TEXT(C8,"mmm-yy"),Settings_FX!$B$16:$B$27,0),MATCH(J8,Settings_FX!$C$15:$I$15,0)),1)</f>
        <v>6500</v>
      </c>
      <c r="M8" s="96" t="s">
        <v>296</v>
      </c>
      <c r="N8" s="98" t="str">
        <f aca="false">TEXT(C8,"mmm-yy")</f>
        <v>Jan-25</v>
      </c>
      <c r="O8" s="1"/>
      <c r="P8" s="1"/>
    </row>
    <row r="9" customFormat="false" ht="19.5" hidden="false" customHeight="true" outlineLevel="0" collapsed="false">
      <c r="A9" s="1"/>
      <c r="B9" s="101" t="s">
        <v>420</v>
      </c>
      <c r="C9" s="110" t="n">
        <v>45675</v>
      </c>
      <c r="D9" s="101" t="s">
        <v>63</v>
      </c>
      <c r="E9" s="111" t="s">
        <v>115</v>
      </c>
      <c r="F9" s="111" t="s">
        <v>421</v>
      </c>
      <c r="G9" s="100" t="n">
        <v>4200</v>
      </c>
      <c r="H9" s="100" t="n">
        <v>350</v>
      </c>
      <c r="I9" s="100" t="n">
        <v>3850</v>
      </c>
      <c r="J9" s="101" t="s">
        <v>107</v>
      </c>
      <c r="K9" s="61" t="n">
        <f aca="false">I9+H9</f>
        <v>4200</v>
      </c>
      <c r="L9" s="102" t="n">
        <f aca="false">K9*IFERROR(INDEX(Settings_FX!$C$16:$I$27,MATCH(TEXT(C9,"mmm-yy"),Settings_FX!$B$16:$B$27,0),MATCH(J9,Settings_FX!$C$15:$I$15,0)),1)</f>
        <v>4200</v>
      </c>
      <c r="M9" s="101" t="s">
        <v>303</v>
      </c>
      <c r="N9" s="103" t="str">
        <f aca="false">TEXT(C9,"mmm-yy")</f>
        <v>Jan-25</v>
      </c>
      <c r="O9" s="1"/>
      <c r="P9" s="1"/>
    </row>
    <row r="10" customFormat="false" ht="19.5" hidden="false" customHeight="true" outlineLevel="0" collapsed="false">
      <c r="A10" s="1"/>
      <c r="B10" s="96" t="s">
        <v>422</v>
      </c>
      <c r="C10" s="108" t="n">
        <v>45693</v>
      </c>
      <c r="D10" s="96" t="s">
        <v>64</v>
      </c>
      <c r="E10" s="109" t="s">
        <v>103</v>
      </c>
      <c r="F10" s="109" t="s">
        <v>423</v>
      </c>
      <c r="G10" s="95" t="n">
        <v>5500</v>
      </c>
      <c r="H10" s="95" t="n">
        <v>500</v>
      </c>
      <c r="I10" s="95" t="n">
        <v>5000</v>
      </c>
      <c r="J10" s="96" t="s">
        <v>107</v>
      </c>
      <c r="K10" s="61" t="n">
        <f aca="false">I10+H10</f>
        <v>5500</v>
      </c>
      <c r="L10" s="97" t="n">
        <f aca="false">K10*IFERROR(INDEX(Settings_FX!$C$16:$I$27,MATCH(TEXT(C10,"mmm-yy"),Settings_FX!$B$16:$B$27,0),MATCH(J10,Settings_FX!$C$15:$I$15,0)),1)</f>
        <v>5500</v>
      </c>
      <c r="M10" s="96" t="s">
        <v>296</v>
      </c>
      <c r="N10" s="98" t="str">
        <f aca="false">TEXT(C10,"mmm-yy")</f>
        <v>Feb-25</v>
      </c>
      <c r="O10" s="1"/>
      <c r="P10" s="1"/>
    </row>
    <row r="11" customFormat="false" ht="19.5" hidden="false" customHeight="true" outlineLevel="0" collapsed="false">
      <c r="A11" s="1"/>
      <c r="B11" s="101" t="s">
        <v>424</v>
      </c>
      <c r="C11" s="110" t="n">
        <v>45696</v>
      </c>
      <c r="D11" s="101" t="s">
        <v>64</v>
      </c>
      <c r="E11" s="111" t="s">
        <v>105</v>
      </c>
      <c r="F11" s="111" t="s">
        <v>425</v>
      </c>
      <c r="G11" s="100" t="n">
        <v>4000</v>
      </c>
      <c r="H11" s="100" t="n">
        <v>300</v>
      </c>
      <c r="I11" s="100" t="n">
        <v>3700</v>
      </c>
      <c r="J11" s="101" t="s">
        <v>107</v>
      </c>
      <c r="K11" s="61" t="n">
        <f aca="false">I11+H11</f>
        <v>4000</v>
      </c>
      <c r="L11" s="102" t="n">
        <f aca="false">K11*IFERROR(INDEX(Settings_FX!$C$16:$I$27,MATCH(TEXT(C11,"mmm-yy"),Settings_FX!$B$16:$B$27,0),MATCH(J11,Settings_FX!$C$15:$I$15,0)),1)</f>
        <v>4000</v>
      </c>
      <c r="M11" s="101" t="s">
        <v>296</v>
      </c>
      <c r="N11" s="103" t="str">
        <f aca="false">TEXT(C11,"mmm-yy")</f>
        <v>Feb-25</v>
      </c>
      <c r="O11" s="1"/>
      <c r="P11" s="1"/>
    </row>
    <row r="12" customFormat="false" ht="19.5" hidden="false" customHeight="true" outlineLevel="0" collapsed="false">
      <c r="A12" s="1"/>
      <c r="B12" s="96" t="s">
        <v>426</v>
      </c>
      <c r="C12" s="108" t="n">
        <v>45702</v>
      </c>
      <c r="D12" s="96" t="s">
        <v>64</v>
      </c>
      <c r="E12" s="109" t="s">
        <v>106</v>
      </c>
      <c r="F12" s="109" t="s">
        <v>427</v>
      </c>
      <c r="G12" s="95" t="n">
        <v>6800</v>
      </c>
      <c r="H12" s="95" t="n">
        <v>550</v>
      </c>
      <c r="I12" s="95" t="n">
        <v>6250</v>
      </c>
      <c r="J12" s="96" t="s">
        <v>107</v>
      </c>
      <c r="K12" s="61" t="n">
        <f aca="false">I12+H12</f>
        <v>6800</v>
      </c>
      <c r="L12" s="97" t="n">
        <f aca="false">K12*IFERROR(INDEX(Settings_FX!$C$16:$I$27,MATCH(TEXT(C12,"mmm-yy"),Settings_FX!$B$16:$B$27,0),MATCH(J12,Settings_FX!$C$15:$I$15,0)),1)</f>
        <v>6800</v>
      </c>
      <c r="M12" s="96" t="s">
        <v>296</v>
      </c>
      <c r="N12" s="98" t="str">
        <f aca="false">TEXT(C12,"mmm-yy")</f>
        <v>Feb-25</v>
      </c>
      <c r="O12" s="1"/>
      <c r="P12" s="1"/>
    </row>
    <row r="13" customFormat="false" ht="19.5" hidden="false" customHeight="true" outlineLevel="0" collapsed="false">
      <c r="A13" s="1"/>
      <c r="B13" s="101" t="s">
        <v>428</v>
      </c>
      <c r="C13" s="110" t="n">
        <v>45720</v>
      </c>
      <c r="D13" s="101" t="s">
        <v>65</v>
      </c>
      <c r="E13" s="111" t="s">
        <v>103</v>
      </c>
      <c r="F13" s="111" t="s">
        <v>429</v>
      </c>
      <c r="G13" s="100" t="n">
        <v>5800</v>
      </c>
      <c r="H13" s="100" t="n">
        <v>600</v>
      </c>
      <c r="I13" s="100" t="n">
        <v>5200</v>
      </c>
      <c r="J13" s="101" t="s">
        <v>107</v>
      </c>
      <c r="K13" s="61" t="n">
        <f aca="false">I13+H13</f>
        <v>5800</v>
      </c>
      <c r="L13" s="102" t="n">
        <f aca="false">K13*IFERROR(INDEX(Settings_FX!$C$16:$I$27,MATCH(TEXT(C13,"mmm-yy"),Settings_FX!$B$16:$B$27,0),MATCH(J13,Settings_FX!$C$15:$I$15,0)),1)</f>
        <v>5800</v>
      </c>
      <c r="M13" s="101" t="s">
        <v>296</v>
      </c>
      <c r="N13" s="103" t="str">
        <f aca="false">TEXT(C13,"mmm-yy")</f>
        <v>Mar-25</v>
      </c>
      <c r="O13" s="1"/>
      <c r="P13" s="1"/>
    </row>
    <row r="14" customFormat="false" ht="19.5" hidden="false" customHeight="true" outlineLevel="0" collapsed="false">
      <c r="A14" s="1"/>
      <c r="B14" s="96" t="s">
        <v>430</v>
      </c>
      <c r="C14" s="108" t="n">
        <v>45724</v>
      </c>
      <c r="D14" s="96" t="s">
        <v>65</v>
      </c>
      <c r="E14" s="109" t="s">
        <v>109</v>
      </c>
      <c r="F14" s="109" t="s">
        <v>431</v>
      </c>
      <c r="G14" s="95" t="n">
        <v>4500</v>
      </c>
      <c r="H14" s="95" t="n">
        <v>400</v>
      </c>
      <c r="I14" s="95" t="n">
        <v>4100</v>
      </c>
      <c r="J14" s="96" t="s">
        <v>107</v>
      </c>
      <c r="K14" s="61" t="n">
        <f aca="false">I14+H14</f>
        <v>4500</v>
      </c>
      <c r="L14" s="97" t="n">
        <f aca="false">K14*IFERROR(INDEX(Settings_FX!$C$16:$I$27,MATCH(TEXT(C14,"mmm-yy"),Settings_FX!$B$16:$B$27,0),MATCH(J14,Settings_FX!$C$15:$I$15,0)),1)</f>
        <v>4500</v>
      </c>
      <c r="M14" s="96" t="s">
        <v>296</v>
      </c>
      <c r="N14" s="98" t="str">
        <f aca="false">TEXT(C14,"mmm-yy")</f>
        <v>Mar-25</v>
      </c>
      <c r="O14" s="1"/>
      <c r="P14" s="1"/>
    </row>
    <row r="15" customFormat="false" ht="19.5" hidden="false" customHeight="true" outlineLevel="0" collapsed="false">
      <c r="A15" s="1"/>
      <c r="B15" s="101" t="s">
        <v>432</v>
      </c>
      <c r="C15" s="110" t="n">
        <v>45728</v>
      </c>
      <c r="D15" s="101" t="s">
        <v>65</v>
      </c>
      <c r="E15" s="111" t="s">
        <v>110</v>
      </c>
      <c r="F15" s="111" t="s">
        <v>433</v>
      </c>
      <c r="G15" s="100" t="n">
        <v>7200</v>
      </c>
      <c r="H15" s="100" t="n">
        <v>600</v>
      </c>
      <c r="I15" s="100" t="n">
        <v>6600</v>
      </c>
      <c r="J15" s="101" t="s">
        <v>107</v>
      </c>
      <c r="K15" s="61" t="n">
        <f aca="false">I15+H15</f>
        <v>7200</v>
      </c>
      <c r="L15" s="102" t="n">
        <f aca="false">K15*IFERROR(INDEX(Settings_FX!$C$16:$I$27,MATCH(TEXT(C15,"mmm-yy"),Settings_FX!$B$16:$B$27,0),MATCH(J15,Settings_FX!$C$15:$I$15,0)),1)</f>
        <v>7200</v>
      </c>
      <c r="M15" s="101" t="s">
        <v>296</v>
      </c>
      <c r="N15" s="103" t="str">
        <f aca="false">TEXT(C15,"mmm-yy")</f>
        <v>Mar-25</v>
      </c>
      <c r="O15" s="1"/>
      <c r="P15" s="1"/>
    </row>
    <row r="16" customFormat="false" ht="19.5" hidden="false" customHeight="true" outlineLevel="0" collapsed="false">
      <c r="A16" s="1"/>
      <c r="B16" s="96" t="s">
        <v>434</v>
      </c>
      <c r="C16" s="108" t="n">
        <v>45734</v>
      </c>
      <c r="D16" s="96" t="s">
        <v>65</v>
      </c>
      <c r="E16" s="109" t="s">
        <v>117</v>
      </c>
      <c r="F16" s="109" t="s">
        <v>435</v>
      </c>
      <c r="G16" s="95" t="n">
        <v>8500</v>
      </c>
      <c r="H16" s="95" t="n">
        <v>700</v>
      </c>
      <c r="I16" s="95" t="n">
        <v>7800</v>
      </c>
      <c r="J16" s="96" t="s">
        <v>107</v>
      </c>
      <c r="K16" s="61" t="n">
        <f aca="false">I16+H16</f>
        <v>8500</v>
      </c>
      <c r="L16" s="97" t="n">
        <f aca="false">K16*IFERROR(INDEX(Settings_FX!$C$16:$I$27,MATCH(TEXT(C16,"mmm-yy"),Settings_FX!$B$16:$B$27,0),MATCH(J16,Settings_FX!$C$15:$I$15,0)),1)</f>
        <v>8500</v>
      </c>
      <c r="M16" s="96" t="s">
        <v>303</v>
      </c>
      <c r="N16" s="98" t="str">
        <f aca="false">TEXT(C16,"mmm-yy")</f>
        <v>Mar-25</v>
      </c>
      <c r="O16" s="1"/>
      <c r="P16" s="1"/>
    </row>
    <row r="17" customFormat="false" ht="19.5" hidden="false" customHeight="true" outlineLevel="0" collapsed="false">
      <c r="A17" s="1"/>
      <c r="B17" s="101" t="s">
        <v>436</v>
      </c>
      <c r="C17" s="110" t="n">
        <v>45741</v>
      </c>
      <c r="D17" s="101" t="s">
        <v>65</v>
      </c>
      <c r="E17" s="111" t="s">
        <v>119</v>
      </c>
      <c r="F17" s="111" t="s">
        <v>437</v>
      </c>
      <c r="G17" s="100" t="n">
        <v>4300</v>
      </c>
      <c r="H17" s="100" t="n">
        <v>350</v>
      </c>
      <c r="I17" s="100" t="n">
        <v>3950</v>
      </c>
      <c r="J17" s="101" t="s">
        <v>107</v>
      </c>
      <c r="K17" s="61" t="n">
        <f aca="false">I17+H17</f>
        <v>4300</v>
      </c>
      <c r="L17" s="102" t="n">
        <f aca="false">K17*IFERROR(INDEX(Settings_FX!$C$16:$I$27,MATCH(TEXT(C17,"mmm-yy"),Settings_FX!$B$16:$B$27,0),MATCH(J17,Settings_FX!$C$15:$I$15,0)),1)</f>
        <v>4300</v>
      </c>
      <c r="M17" s="101" t="s">
        <v>303</v>
      </c>
      <c r="N17" s="103" t="str">
        <f aca="false">TEXT(C17,"mmm-yy")</f>
        <v>Mar-25</v>
      </c>
      <c r="O17" s="1"/>
      <c r="P17" s="1"/>
    </row>
    <row r="18" customFormat="false" ht="19.5" hidden="false" customHeight="true" outlineLevel="0" collapsed="false">
      <c r="A18" s="1"/>
      <c r="B18" s="96" t="s">
        <v>438</v>
      </c>
      <c r="C18" s="108" t="n">
        <v>45752</v>
      </c>
      <c r="D18" s="96" t="s">
        <v>66</v>
      </c>
      <c r="E18" s="109" t="s">
        <v>103</v>
      </c>
      <c r="F18" s="109" t="s">
        <v>439</v>
      </c>
      <c r="G18" s="95" t="n">
        <v>6100</v>
      </c>
      <c r="H18" s="95" t="n">
        <v>600</v>
      </c>
      <c r="I18" s="95" t="n">
        <v>5500</v>
      </c>
      <c r="J18" s="96" t="s">
        <v>107</v>
      </c>
      <c r="K18" s="61" t="n">
        <f aca="false">I18+H18</f>
        <v>6100</v>
      </c>
      <c r="L18" s="97" t="n">
        <f aca="false">K18*IFERROR(INDEX(Settings_FX!$C$16:$I$27,MATCH(TEXT(C18,"mmm-yy"),Settings_FX!$B$16:$B$27,0),MATCH(J18,Settings_FX!$C$15:$I$15,0)),1)</f>
        <v>6100</v>
      </c>
      <c r="M18" s="96" t="s">
        <v>296</v>
      </c>
      <c r="N18" s="98" t="str">
        <f aca="false">TEXT(C18,"mmm-yy")</f>
        <v>Apr-25</v>
      </c>
      <c r="O18" s="1"/>
      <c r="P18" s="1"/>
    </row>
    <row r="19" customFormat="false" ht="19.5" hidden="false" customHeight="true" outlineLevel="0" collapsed="false">
      <c r="A19" s="1"/>
      <c r="B19" s="101" t="s">
        <v>440</v>
      </c>
      <c r="C19" s="110" t="n">
        <v>45756</v>
      </c>
      <c r="D19" s="101" t="s">
        <v>66</v>
      </c>
      <c r="E19" s="111" t="s">
        <v>120</v>
      </c>
      <c r="F19" s="111" t="s">
        <v>441</v>
      </c>
      <c r="G19" s="100" t="n">
        <v>3200</v>
      </c>
      <c r="H19" s="100" t="n">
        <v>250</v>
      </c>
      <c r="I19" s="100" t="n">
        <v>2950</v>
      </c>
      <c r="J19" s="101" t="s">
        <v>107</v>
      </c>
      <c r="K19" s="61" t="n">
        <f aca="false">I19+H19</f>
        <v>3200</v>
      </c>
      <c r="L19" s="102" t="n">
        <f aca="false">K19*IFERROR(INDEX(Settings_FX!$C$16:$I$27,MATCH(TEXT(C19,"mmm-yy"),Settings_FX!$B$16:$B$27,0),MATCH(J19,Settings_FX!$C$15:$I$15,0)),1)</f>
        <v>3200</v>
      </c>
      <c r="M19" s="101" t="s">
        <v>303</v>
      </c>
      <c r="N19" s="103" t="str">
        <f aca="false">TEXT(C19,"mmm-yy")</f>
        <v>Apr-25</v>
      </c>
      <c r="O19" s="1"/>
      <c r="P19" s="1"/>
    </row>
    <row r="20" customFormat="false" ht="19.5" hidden="false" customHeight="true" outlineLevel="0" collapsed="false">
      <c r="A20" s="1"/>
      <c r="B20" s="96" t="s">
        <v>442</v>
      </c>
      <c r="C20" s="108" t="n">
        <v>45782</v>
      </c>
      <c r="D20" s="96" t="s">
        <v>67</v>
      </c>
      <c r="E20" s="109" t="s">
        <v>103</v>
      </c>
      <c r="F20" s="109" t="s">
        <v>443</v>
      </c>
      <c r="G20" s="95" t="n">
        <v>6300</v>
      </c>
      <c r="H20" s="95" t="n">
        <v>650</v>
      </c>
      <c r="I20" s="95" t="n">
        <v>5650</v>
      </c>
      <c r="J20" s="96" t="s">
        <v>107</v>
      </c>
      <c r="K20" s="61" t="n">
        <f aca="false">I20+H20</f>
        <v>6300</v>
      </c>
      <c r="L20" s="97" t="n">
        <f aca="false">K20*IFERROR(INDEX(Settings_FX!$C$16:$I$27,MATCH(TEXT(C20,"mmm-yy"),Settings_FX!$B$16:$B$27,0),MATCH(J20,Settings_FX!$C$15:$I$15,0)),1)</f>
        <v>6300</v>
      </c>
      <c r="M20" s="96" t="s">
        <v>296</v>
      </c>
      <c r="N20" s="98" t="str">
        <f aca="false">TEXT(C20,"mmm-yy")</f>
        <v>May-25</v>
      </c>
      <c r="O20" s="1"/>
      <c r="P20" s="1"/>
    </row>
    <row r="21" customFormat="false" ht="19.5" hidden="false" customHeight="true" outlineLevel="0" collapsed="false">
      <c r="A21" s="1"/>
      <c r="B21" s="101" t="s">
        <v>444</v>
      </c>
      <c r="C21" s="110" t="n">
        <v>45785</v>
      </c>
      <c r="D21" s="101" t="s">
        <v>67</v>
      </c>
      <c r="E21" s="111" t="s">
        <v>106</v>
      </c>
      <c r="F21" s="111" t="s">
        <v>445</v>
      </c>
      <c r="G21" s="100" t="n">
        <v>7100</v>
      </c>
      <c r="H21" s="100" t="n">
        <v>600</v>
      </c>
      <c r="I21" s="100" t="n">
        <v>6500</v>
      </c>
      <c r="J21" s="101" t="s">
        <v>107</v>
      </c>
      <c r="K21" s="61" t="n">
        <f aca="false">I21+H21</f>
        <v>7100</v>
      </c>
      <c r="L21" s="102" t="n">
        <f aca="false">K21*IFERROR(INDEX(Settings_FX!$C$16:$I$27,MATCH(TEXT(C21,"mmm-yy"),Settings_FX!$B$16:$B$27,0),MATCH(J21,Settings_FX!$C$15:$I$15,0)),1)</f>
        <v>7100</v>
      </c>
      <c r="M21" s="101" t="s">
        <v>296</v>
      </c>
      <c r="N21" s="103" t="str">
        <f aca="false">TEXT(C21,"mmm-yy")</f>
        <v>May-25</v>
      </c>
      <c r="O21" s="1"/>
      <c r="P21" s="1"/>
    </row>
    <row r="22" customFormat="false" ht="19.5" hidden="false" customHeight="true" outlineLevel="0" collapsed="false">
      <c r="A22" s="1"/>
      <c r="B22" s="96" t="s">
        <v>446</v>
      </c>
      <c r="C22" s="108" t="n">
        <v>45792</v>
      </c>
      <c r="D22" s="96" t="s">
        <v>67</v>
      </c>
      <c r="E22" s="109" t="s">
        <v>118</v>
      </c>
      <c r="F22" s="109" t="s">
        <v>447</v>
      </c>
      <c r="G22" s="95" t="n">
        <v>3900</v>
      </c>
      <c r="H22" s="95" t="n">
        <v>300</v>
      </c>
      <c r="I22" s="95" t="n">
        <v>3600</v>
      </c>
      <c r="J22" s="96" t="s">
        <v>107</v>
      </c>
      <c r="K22" s="61" t="n">
        <f aca="false">I22+H22</f>
        <v>3900</v>
      </c>
      <c r="L22" s="97" t="n">
        <f aca="false">K22*IFERROR(INDEX(Settings_FX!$C$16:$I$27,MATCH(TEXT(C22,"mmm-yy"),Settings_FX!$B$16:$B$27,0),MATCH(J22,Settings_FX!$C$15:$I$15,0)),1)</f>
        <v>3900</v>
      </c>
      <c r="M22" s="96" t="s">
        <v>303</v>
      </c>
      <c r="N22" s="98" t="str">
        <f aca="false">TEXT(C22,"mmm-yy")</f>
        <v>May-25</v>
      </c>
      <c r="O22" s="1"/>
      <c r="P22" s="1"/>
    </row>
    <row r="23" customFormat="false" ht="19.5" hidden="false" customHeight="true" outlineLevel="0" collapsed="false">
      <c r="A23" s="1"/>
      <c r="B23" s="101" t="s">
        <v>448</v>
      </c>
      <c r="C23" s="110" t="n">
        <v>45812</v>
      </c>
      <c r="D23" s="101" t="s">
        <v>68</v>
      </c>
      <c r="E23" s="111" t="s">
        <v>108</v>
      </c>
      <c r="F23" s="111" t="s">
        <v>449</v>
      </c>
      <c r="G23" s="100" t="n">
        <v>6600</v>
      </c>
      <c r="H23" s="100" t="n">
        <v>700</v>
      </c>
      <c r="I23" s="100" t="n">
        <v>5900</v>
      </c>
      <c r="J23" s="101" t="s">
        <v>107</v>
      </c>
      <c r="K23" s="61" t="n">
        <f aca="false">I23+H23</f>
        <v>6600</v>
      </c>
      <c r="L23" s="102" t="n">
        <f aca="false">K23*IFERROR(INDEX(Settings_FX!$C$16:$I$27,MATCH(TEXT(C23,"mmm-yy"),Settings_FX!$B$16:$B$27,0),MATCH(J23,Settings_FX!$C$15:$I$15,0)),1)</f>
        <v>6600</v>
      </c>
      <c r="M23" s="101" t="s">
        <v>296</v>
      </c>
      <c r="N23" s="103" t="str">
        <f aca="false">TEXT(C23,"mmm-yy")</f>
        <v>Jun-25</v>
      </c>
      <c r="O23" s="1"/>
      <c r="P23" s="1"/>
    </row>
    <row r="24" customFormat="false" ht="19.5" hidden="false" customHeight="true" outlineLevel="0" collapsed="false">
      <c r="A24" s="1"/>
      <c r="B24" s="96" t="s">
        <v>450</v>
      </c>
      <c r="C24" s="108" t="n">
        <v>45816</v>
      </c>
      <c r="D24" s="96" t="s">
        <v>68</v>
      </c>
      <c r="E24" s="109" t="s">
        <v>112</v>
      </c>
      <c r="F24" s="109" t="s">
        <v>451</v>
      </c>
      <c r="G24" s="95" t="n">
        <v>5800</v>
      </c>
      <c r="H24" s="95" t="n">
        <v>450</v>
      </c>
      <c r="I24" s="95" t="n">
        <v>5350</v>
      </c>
      <c r="J24" s="96" t="s">
        <v>107</v>
      </c>
      <c r="K24" s="61" t="n">
        <f aca="false">I24+H24</f>
        <v>5800</v>
      </c>
      <c r="L24" s="97" t="n">
        <f aca="false">K24*IFERROR(INDEX(Settings_FX!$C$16:$I$27,MATCH(TEXT(C24,"mmm-yy"),Settings_FX!$B$16:$B$27,0),MATCH(J24,Settings_FX!$C$15:$I$15,0)),1)</f>
        <v>5800</v>
      </c>
      <c r="M24" s="96" t="s">
        <v>296</v>
      </c>
      <c r="N24" s="98" t="str">
        <f aca="false">TEXT(C24,"mmm-yy")</f>
        <v>Jun-25</v>
      </c>
      <c r="O24" s="1"/>
      <c r="P24" s="1"/>
    </row>
    <row r="25" customFormat="false" ht="19.5" hidden="false" customHeight="true" outlineLevel="0" collapsed="false">
      <c r="A25" s="1"/>
      <c r="B25" s="101" t="s">
        <v>452</v>
      </c>
      <c r="C25" s="110" t="n">
        <v>45844</v>
      </c>
      <c r="D25" s="101" t="s">
        <v>69</v>
      </c>
      <c r="E25" s="111" t="s">
        <v>121</v>
      </c>
      <c r="F25" s="111" t="s">
        <v>453</v>
      </c>
      <c r="G25" s="100" t="n">
        <v>7200</v>
      </c>
      <c r="H25" s="100" t="n">
        <v>600</v>
      </c>
      <c r="I25" s="100" t="n">
        <v>6600</v>
      </c>
      <c r="J25" s="101" t="s">
        <v>107</v>
      </c>
      <c r="K25" s="61" t="n">
        <f aca="false">I25+H25</f>
        <v>7200</v>
      </c>
      <c r="L25" s="102" t="n">
        <f aca="false">K25*IFERROR(INDEX(Settings_FX!$C$16:$I$27,MATCH(TEXT(C25,"mmm-yy"),Settings_FX!$B$16:$B$27,0),MATCH(J25,Settings_FX!$C$15:$I$15,0)),1)</f>
        <v>7200</v>
      </c>
      <c r="M25" s="101" t="s">
        <v>303</v>
      </c>
      <c r="N25" s="103" t="str">
        <f aca="false">TEXT(C25,"mmm-yy")</f>
        <v>Jul-25</v>
      </c>
      <c r="O25" s="1"/>
      <c r="P25" s="1"/>
    </row>
    <row r="26" customFormat="false" ht="19.5" hidden="false" customHeight="true" outlineLevel="0" collapsed="false">
      <c r="A26" s="1"/>
      <c r="B26" s="96" t="s">
        <v>454</v>
      </c>
      <c r="C26" s="108" t="n">
        <v>45850</v>
      </c>
      <c r="D26" s="96" t="s">
        <v>69</v>
      </c>
      <c r="E26" s="109" t="s">
        <v>103</v>
      </c>
      <c r="F26" s="109" t="s">
        <v>455</v>
      </c>
      <c r="G26" s="95" t="n">
        <v>6800</v>
      </c>
      <c r="H26" s="95" t="n">
        <v>700</v>
      </c>
      <c r="I26" s="95" t="n">
        <v>6100</v>
      </c>
      <c r="J26" s="96" t="s">
        <v>107</v>
      </c>
      <c r="K26" s="61" t="n">
        <f aca="false">I26+H26</f>
        <v>6800</v>
      </c>
      <c r="L26" s="97" t="n">
        <f aca="false">K26*IFERROR(INDEX(Settings_FX!$C$16:$I$27,MATCH(TEXT(C26,"mmm-yy"),Settings_FX!$B$16:$B$27,0),MATCH(J26,Settings_FX!$C$15:$I$15,0)),1)</f>
        <v>6800</v>
      </c>
      <c r="M26" s="96" t="s">
        <v>296</v>
      </c>
      <c r="N26" s="98" t="str">
        <f aca="false">TEXT(C26,"mmm-yy")</f>
        <v>Jul-25</v>
      </c>
      <c r="O26" s="1"/>
      <c r="P26" s="1"/>
    </row>
    <row r="27" customFormat="false" ht="19.5" hidden="false" customHeight="true" outlineLevel="0" collapsed="false">
      <c r="A27" s="1"/>
      <c r="B27" s="101" t="s">
        <v>456</v>
      </c>
      <c r="C27" s="110" t="n">
        <v>45878</v>
      </c>
      <c r="D27" s="101" t="s">
        <v>70</v>
      </c>
      <c r="E27" s="111" t="s">
        <v>115</v>
      </c>
      <c r="F27" s="111" t="s">
        <v>457</v>
      </c>
      <c r="G27" s="100" t="n">
        <v>4500</v>
      </c>
      <c r="H27" s="100" t="n">
        <v>400</v>
      </c>
      <c r="I27" s="100" t="n">
        <v>4100</v>
      </c>
      <c r="J27" s="101" t="s">
        <v>107</v>
      </c>
      <c r="K27" s="61" t="n">
        <f aca="false">I27+H27</f>
        <v>4500</v>
      </c>
      <c r="L27" s="102" t="n">
        <f aca="false">K27*IFERROR(INDEX(Settings_FX!$C$16:$I$27,MATCH(TEXT(C27,"mmm-yy"),Settings_FX!$B$16:$B$27,0),MATCH(J27,Settings_FX!$C$15:$I$15,0)),1)</f>
        <v>4500</v>
      </c>
      <c r="M27" s="101" t="s">
        <v>303</v>
      </c>
      <c r="N27" s="103" t="str">
        <f aca="false">TEXT(C27,"mmm-yy")</f>
        <v>Aug-25</v>
      </c>
      <c r="O27" s="1"/>
      <c r="P27" s="1"/>
    </row>
    <row r="28" customFormat="false" ht="19.5" hidden="false" customHeight="true" outlineLevel="0" collapsed="false">
      <c r="A28" s="1"/>
      <c r="B28" s="96" t="s">
        <v>458</v>
      </c>
      <c r="C28" s="108" t="n">
        <v>45914</v>
      </c>
      <c r="D28" s="96" t="s">
        <v>71</v>
      </c>
      <c r="E28" s="109" t="s">
        <v>122</v>
      </c>
      <c r="F28" s="109" t="s">
        <v>459</v>
      </c>
      <c r="G28" s="95" t="n">
        <v>9800</v>
      </c>
      <c r="H28" s="95" t="n">
        <v>800</v>
      </c>
      <c r="I28" s="95" t="n">
        <v>9000</v>
      </c>
      <c r="J28" s="96" t="s">
        <v>107</v>
      </c>
      <c r="K28" s="61" t="n">
        <f aca="false">I28+H28</f>
        <v>9800</v>
      </c>
      <c r="L28" s="97" t="n">
        <f aca="false">K28*IFERROR(INDEX(Settings_FX!$C$16:$I$27,MATCH(TEXT(C28,"mmm-yy"),Settings_FX!$B$16:$B$27,0),MATCH(J28,Settings_FX!$C$15:$I$15,0)),1)</f>
        <v>9800</v>
      </c>
      <c r="M28" s="96" t="s">
        <v>303</v>
      </c>
      <c r="N28" s="98" t="str">
        <f aca="false">TEXT(C28,"mmm-yy")</f>
        <v>Sep-25</v>
      </c>
      <c r="O28" s="1"/>
      <c r="P28" s="1"/>
    </row>
    <row r="29" customFormat="false" ht="24" hidden="false" customHeight="true" outlineLevel="0" collapsed="false">
      <c r="A29" s="1"/>
      <c r="B29" s="40" t="s">
        <v>145</v>
      </c>
      <c r="C29" s="56"/>
      <c r="D29" s="56"/>
      <c r="E29" s="56"/>
      <c r="F29" s="56"/>
      <c r="G29" s="55" t="n">
        <f aca="false">SUM(G6:G28)</f>
        <v>133600</v>
      </c>
      <c r="H29" s="55" t="n">
        <f aca="false">SUM(H6:H28)</f>
        <v>11650</v>
      </c>
      <c r="I29" s="55" t="n">
        <f aca="false">SUM(I6:I28)</f>
        <v>121950</v>
      </c>
      <c r="J29" s="56"/>
      <c r="K29" s="113" t="n">
        <f aca="false">SUM(K6:K28)</f>
        <v>133600</v>
      </c>
      <c r="L29" s="55" t="n">
        <f aca="false">SUM(L6:L28)</f>
        <v>133600</v>
      </c>
      <c r="M29" s="56"/>
      <c r="N29" s="56"/>
      <c r="O29" s="1"/>
      <c r="P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</sheetData>
  <mergeCells count="3">
    <mergeCell ref="B2:N2"/>
    <mergeCell ref="B3:N3"/>
    <mergeCell ref="B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A84B"/>
    <pageSetUpPr fitToPage="false"/>
  </sheetPr>
  <dimension ref="A1:N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14" min="3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7.5" hidden="false" customHeight="true" outlineLevel="0" collapsed="false">
      <c r="A2" s="1"/>
      <c r="B2" s="2" t="s">
        <v>460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" hidden="false" customHeight="true" outlineLevel="0" collapsed="false">
      <c r="A3" s="1"/>
      <c r="B3" s="3" t="s">
        <v>461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5.5" hidden="false" customHeight="true" outlineLevel="0" collapsed="false">
      <c r="A5" s="1"/>
      <c r="B5" s="5" t="s">
        <v>462</v>
      </c>
      <c r="C5" s="5"/>
      <c r="D5" s="5"/>
      <c r="E5" s="5"/>
      <c r="F5" s="5"/>
      <c r="G5" s="1"/>
      <c r="H5" s="1"/>
      <c r="I5" s="1"/>
      <c r="J5" s="1"/>
      <c r="K5" s="1"/>
      <c r="L5" s="1"/>
    </row>
    <row r="6" customFormat="false" ht="19.5" hidden="false" customHeight="true" outlineLevel="0" collapsed="false">
      <c r="A6" s="1"/>
      <c r="B6" s="57" t="s">
        <v>463</v>
      </c>
      <c r="C6" s="114" t="s">
        <v>464</v>
      </c>
      <c r="D6" s="115" t="s">
        <v>104</v>
      </c>
      <c r="E6" s="59"/>
      <c r="F6" s="59"/>
      <c r="G6" s="1"/>
      <c r="H6" s="1"/>
      <c r="I6" s="1"/>
      <c r="J6" s="1"/>
      <c r="K6" s="1"/>
      <c r="L6" s="1"/>
    </row>
    <row r="7" customFormat="false" ht="19.5" hidden="false" customHeight="true" outlineLevel="0" collapsed="false">
      <c r="A7" s="1"/>
      <c r="B7" s="57" t="s">
        <v>465</v>
      </c>
      <c r="C7" s="114" t="s">
        <v>466</v>
      </c>
      <c r="D7" s="115" t="s">
        <v>116</v>
      </c>
      <c r="E7" s="59"/>
      <c r="F7" s="59"/>
      <c r="G7" s="1"/>
      <c r="H7" s="1"/>
      <c r="I7" s="1"/>
      <c r="J7" s="1"/>
      <c r="K7" s="1"/>
      <c r="L7" s="1"/>
    </row>
    <row r="8" customFormat="false" ht="19.5" hidden="false" customHeight="true" outlineLevel="0" collapsed="false">
      <c r="A8" s="1"/>
      <c r="B8" s="57" t="s">
        <v>467</v>
      </c>
      <c r="C8" s="114" t="s">
        <v>107</v>
      </c>
      <c r="D8" s="115"/>
      <c r="E8" s="59"/>
      <c r="F8" s="59"/>
      <c r="G8" s="1"/>
      <c r="H8" s="1"/>
      <c r="I8" s="1"/>
      <c r="J8" s="1"/>
      <c r="K8" s="1"/>
      <c r="L8" s="1"/>
    </row>
    <row r="9" customFormat="false" ht="19.5" hidden="false" customHeight="true" outlineLevel="0" collapsed="false">
      <c r="A9" s="1"/>
      <c r="B9" s="57" t="s">
        <v>468</v>
      </c>
      <c r="C9" s="114" t="s">
        <v>107</v>
      </c>
      <c r="D9" s="115"/>
      <c r="E9" s="59"/>
      <c r="F9" s="59"/>
      <c r="G9" s="1"/>
      <c r="H9" s="1"/>
      <c r="I9" s="1"/>
      <c r="J9" s="1"/>
      <c r="K9" s="1"/>
      <c r="L9" s="1"/>
    </row>
    <row r="10" customFormat="false" ht="19.5" hidden="false" customHeight="true" outlineLevel="0" collapsed="false">
      <c r="A10" s="1"/>
      <c r="B10" s="57" t="s">
        <v>469</v>
      </c>
      <c r="C10" s="116" t="n">
        <v>0.029</v>
      </c>
      <c r="D10" s="115"/>
      <c r="E10" s="59"/>
      <c r="F10" s="59"/>
      <c r="G10" s="1"/>
      <c r="H10" s="1"/>
      <c r="I10" s="1"/>
      <c r="J10" s="1"/>
      <c r="K10" s="1"/>
      <c r="L10" s="1"/>
    </row>
    <row r="11" customFormat="false" ht="19.5" hidden="false" customHeight="true" outlineLevel="0" collapsed="false">
      <c r="A11" s="1"/>
      <c r="B11" s="57" t="s">
        <v>470</v>
      </c>
      <c r="C11" s="117" t="n">
        <v>0.3</v>
      </c>
      <c r="D11" s="115"/>
      <c r="E11" s="59"/>
      <c r="F11" s="59"/>
      <c r="G11" s="1"/>
      <c r="H11" s="1"/>
      <c r="I11" s="1"/>
      <c r="J11" s="1"/>
      <c r="K11" s="1"/>
      <c r="L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25.5" hidden="false" customHeight="true" outlineLevel="0" collapsed="false">
      <c r="A14" s="1"/>
      <c r="B14" s="5" t="s">
        <v>471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customFormat="false" ht="24" hidden="false" customHeight="true" outlineLevel="0" collapsed="false">
      <c r="A15" s="1"/>
      <c r="B15" s="87" t="s">
        <v>57</v>
      </c>
      <c r="C15" s="87" t="s">
        <v>107</v>
      </c>
      <c r="D15" s="87" t="s">
        <v>104</v>
      </c>
      <c r="E15" s="87" t="s">
        <v>116</v>
      </c>
      <c r="F15" s="87" t="s">
        <v>472</v>
      </c>
      <c r="G15" s="87" t="s">
        <v>473</v>
      </c>
      <c r="H15" s="87" t="s">
        <v>474</v>
      </c>
      <c r="I15" s="87" t="s">
        <v>475</v>
      </c>
      <c r="J15" s="1"/>
      <c r="K15" s="1"/>
      <c r="L15" s="1"/>
    </row>
    <row r="16" customFormat="false" ht="18" hidden="false" customHeight="true" outlineLevel="0" collapsed="false">
      <c r="A16" s="1"/>
      <c r="B16" s="118" t="s">
        <v>63</v>
      </c>
      <c r="C16" s="119" t="n">
        <v>1</v>
      </c>
      <c r="D16" s="119" t="n">
        <v>0.2723</v>
      </c>
      <c r="E16" s="119" t="n">
        <v>0.743</v>
      </c>
      <c r="F16" s="119" t="n">
        <v>1.082</v>
      </c>
      <c r="G16" s="119" t="n">
        <v>1.265</v>
      </c>
      <c r="H16" s="119" t="n">
        <v>0.0115</v>
      </c>
      <c r="I16" s="119" t="n">
        <v>0.0036</v>
      </c>
      <c r="J16" s="1"/>
      <c r="K16" s="1"/>
      <c r="L16" s="1"/>
    </row>
    <row r="17" customFormat="false" ht="18" hidden="false" customHeight="true" outlineLevel="0" collapsed="false">
      <c r="A17" s="1"/>
      <c r="B17" s="118" t="s">
        <v>64</v>
      </c>
      <c r="C17" s="119" t="n">
        <v>1</v>
      </c>
      <c r="D17" s="119" t="n">
        <v>0.2723</v>
      </c>
      <c r="E17" s="119" t="n">
        <v>0.743</v>
      </c>
      <c r="F17" s="119" t="n">
        <v>1.054</v>
      </c>
      <c r="G17" s="119" t="n">
        <v>1.268</v>
      </c>
      <c r="H17" s="119" t="n">
        <v>0.0115</v>
      </c>
      <c r="I17" s="119" t="n">
        <v>0.0036</v>
      </c>
      <c r="J17" s="1"/>
      <c r="K17" s="1"/>
      <c r="L17" s="1"/>
    </row>
    <row r="18" customFormat="false" ht="18" hidden="false" customHeight="true" outlineLevel="0" collapsed="false">
      <c r="A18" s="1"/>
      <c r="B18" s="118" t="s">
        <v>65</v>
      </c>
      <c r="C18" s="119" t="n">
        <v>1</v>
      </c>
      <c r="D18" s="119" t="n">
        <v>0.2723</v>
      </c>
      <c r="E18" s="119" t="n">
        <v>0.743</v>
      </c>
      <c r="F18" s="119" t="n">
        <v>1.082</v>
      </c>
      <c r="G18" s="119" t="n">
        <v>1.275</v>
      </c>
      <c r="H18" s="119" t="n">
        <v>0.0116</v>
      </c>
      <c r="I18" s="119" t="n">
        <v>0.0036</v>
      </c>
      <c r="J18" s="1"/>
      <c r="K18" s="1"/>
      <c r="L18" s="1"/>
    </row>
    <row r="19" customFormat="false" ht="18" hidden="false" customHeight="true" outlineLevel="0" collapsed="false">
      <c r="A19" s="1"/>
      <c r="B19" s="118" t="s">
        <v>66</v>
      </c>
      <c r="C19" s="119" t="n">
        <v>1</v>
      </c>
      <c r="D19" s="119" t="n">
        <v>0.2723</v>
      </c>
      <c r="E19" s="119" t="n">
        <v>0.7435</v>
      </c>
      <c r="F19" s="119" t="n">
        <v>1.135</v>
      </c>
      <c r="G19" s="119" t="n">
        <v>1.298</v>
      </c>
      <c r="H19" s="119" t="n">
        <v>0.0118</v>
      </c>
      <c r="I19" s="119" t="n">
        <v>0.0036</v>
      </c>
      <c r="J19" s="1"/>
      <c r="K19" s="1"/>
      <c r="L19" s="1"/>
    </row>
    <row r="20" customFormat="false" ht="18" hidden="false" customHeight="true" outlineLevel="0" collapsed="false">
      <c r="A20" s="1"/>
      <c r="B20" s="118" t="s">
        <v>67</v>
      </c>
      <c r="C20" s="119" t="n">
        <v>1</v>
      </c>
      <c r="D20" s="119" t="n">
        <v>0.2723</v>
      </c>
      <c r="E20" s="119" t="n">
        <v>0.744</v>
      </c>
      <c r="F20" s="119" t="n">
        <v>1.124</v>
      </c>
      <c r="G20" s="119" t="n">
        <v>1.312</v>
      </c>
      <c r="H20" s="119" t="n">
        <v>0.0118</v>
      </c>
      <c r="I20" s="119" t="n">
        <v>0.0036</v>
      </c>
      <c r="J20" s="1"/>
      <c r="K20" s="1"/>
      <c r="L20" s="1"/>
    </row>
    <row r="21" customFormat="false" ht="18" hidden="false" customHeight="true" outlineLevel="0" collapsed="false">
      <c r="A21" s="1"/>
      <c r="B21" s="118" t="s">
        <v>68</v>
      </c>
      <c r="C21" s="119" t="n">
        <v>1</v>
      </c>
      <c r="D21" s="119" t="n">
        <v>0.2723</v>
      </c>
      <c r="E21" s="119" t="n">
        <v>0.744</v>
      </c>
      <c r="F21" s="119" t="n">
        <v>1.146</v>
      </c>
      <c r="G21" s="119" t="n">
        <v>1.332</v>
      </c>
      <c r="H21" s="119" t="n">
        <v>0.0118</v>
      </c>
      <c r="I21" s="119" t="n">
        <v>0.0036</v>
      </c>
      <c r="J21" s="1"/>
      <c r="K21" s="1"/>
      <c r="L21" s="1"/>
    </row>
    <row r="22" customFormat="false" ht="18" hidden="false" customHeight="true" outlineLevel="0" collapsed="false">
      <c r="A22" s="1"/>
      <c r="B22" s="118" t="s">
        <v>69</v>
      </c>
      <c r="C22" s="119" t="n">
        <v>1</v>
      </c>
      <c r="D22" s="119" t="n">
        <v>0.2723</v>
      </c>
      <c r="E22" s="119" t="n">
        <v>0.7445</v>
      </c>
      <c r="F22" s="119" t="n">
        <v>1.154</v>
      </c>
      <c r="G22" s="119" t="n">
        <v>1.345</v>
      </c>
      <c r="H22" s="119" t="n">
        <v>0.0119</v>
      </c>
      <c r="I22" s="119" t="n">
        <v>0.0036</v>
      </c>
      <c r="J22" s="1"/>
      <c r="K22" s="1"/>
      <c r="L22" s="1"/>
    </row>
    <row r="23" customFormat="false" ht="18" hidden="false" customHeight="true" outlineLevel="0" collapsed="false">
      <c r="A23" s="1"/>
      <c r="B23" s="118" t="s">
        <v>70</v>
      </c>
      <c r="C23" s="119" t="n">
        <v>1</v>
      </c>
      <c r="D23" s="119" t="n">
        <v>0.2723</v>
      </c>
      <c r="E23" s="119" t="n">
        <v>0.745</v>
      </c>
      <c r="F23" s="119" t="n">
        <v>1.115</v>
      </c>
      <c r="G23" s="119" t="n">
        <v>1.328</v>
      </c>
      <c r="H23" s="119" t="n">
        <v>0.0119</v>
      </c>
      <c r="I23" s="119" t="n">
        <v>0.0036</v>
      </c>
      <c r="J23" s="1"/>
      <c r="K23" s="1"/>
      <c r="L23" s="1"/>
    </row>
    <row r="24" customFormat="false" ht="18" hidden="false" customHeight="true" outlineLevel="0" collapsed="false">
      <c r="A24" s="1"/>
      <c r="B24" s="118" t="s">
        <v>71</v>
      </c>
      <c r="C24" s="119" t="n">
        <v>1</v>
      </c>
      <c r="D24" s="119" t="n">
        <v>0.2723</v>
      </c>
      <c r="E24" s="119" t="n">
        <v>0.7455</v>
      </c>
      <c r="F24" s="119" t="n">
        <v>1.118</v>
      </c>
      <c r="G24" s="119" t="n">
        <v>1.338</v>
      </c>
      <c r="H24" s="119" t="n">
        <v>0.012</v>
      </c>
      <c r="I24" s="119" t="n">
        <v>0.0036</v>
      </c>
      <c r="J24" s="1"/>
      <c r="K24" s="1"/>
      <c r="L24" s="1"/>
    </row>
    <row r="25" customFormat="false" ht="18" hidden="false" customHeight="true" outlineLevel="0" collapsed="false">
      <c r="A25" s="1"/>
      <c r="B25" s="118" t="s">
        <v>72</v>
      </c>
      <c r="C25" s="119" t="n">
        <v>1</v>
      </c>
      <c r="D25" s="119" t="n">
        <v>0.2723</v>
      </c>
      <c r="E25" s="119" t="n">
        <v>0.746</v>
      </c>
      <c r="F25" s="119" t="n">
        <v>1.089</v>
      </c>
      <c r="G25" s="119" t="n">
        <v>1.305</v>
      </c>
      <c r="H25" s="119" t="n">
        <v>0.012</v>
      </c>
      <c r="I25" s="119" t="n">
        <v>0.0036</v>
      </c>
      <c r="J25" s="1"/>
      <c r="K25" s="1"/>
      <c r="L25" s="1"/>
    </row>
    <row r="26" customFormat="false" ht="18" hidden="false" customHeight="true" outlineLevel="0" collapsed="false">
      <c r="A26" s="1"/>
      <c r="B26" s="118" t="s">
        <v>73</v>
      </c>
      <c r="C26" s="119" t="n">
        <v>1</v>
      </c>
      <c r="D26" s="119" t="n">
        <v>0.2723</v>
      </c>
      <c r="E26" s="119" t="n">
        <v>0.7465</v>
      </c>
      <c r="F26" s="119" t="n">
        <v>1.056</v>
      </c>
      <c r="G26" s="119" t="n">
        <v>1.27</v>
      </c>
      <c r="H26" s="119" t="n">
        <v>0.012</v>
      </c>
      <c r="I26" s="119" t="n">
        <v>0.0036</v>
      </c>
      <c r="J26" s="1"/>
      <c r="K26" s="1"/>
      <c r="L26" s="1"/>
    </row>
    <row r="27" customFormat="false" ht="18" hidden="false" customHeight="true" outlineLevel="0" collapsed="false">
      <c r="A27" s="1"/>
      <c r="B27" s="118" t="s">
        <v>74</v>
      </c>
      <c r="C27" s="119" t="n">
        <v>1</v>
      </c>
      <c r="D27" s="119" t="n">
        <v>0.2723</v>
      </c>
      <c r="E27" s="119" t="n">
        <v>0.747</v>
      </c>
      <c r="F27" s="119" t="n">
        <v>1.041</v>
      </c>
      <c r="G27" s="119" t="n">
        <v>1.254</v>
      </c>
      <c r="H27" s="119" t="n">
        <v>0.012</v>
      </c>
      <c r="I27" s="119" t="n">
        <v>0.0036</v>
      </c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25.5" hidden="false" customHeight="true" outlineLevel="0" collapsed="false">
      <c r="A30" s="1"/>
      <c r="B30" s="5" t="s">
        <v>476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 customFormat="false" ht="24" hidden="false" customHeight="true" outlineLevel="0" collapsed="false">
      <c r="A31" s="1"/>
      <c r="B31" s="87" t="s">
        <v>477</v>
      </c>
      <c r="C31" s="87" t="s">
        <v>478</v>
      </c>
      <c r="D31" s="87" t="s">
        <v>293</v>
      </c>
      <c r="E31" s="87" t="s">
        <v>479</v>
      </c>
      <c r="F31" s="87" t="s">
        <v>480</v>
      </c>
      <c r="G31" s="87" t="s">
        <v>481</v>
      </c>
      <c r="H31" s="87" t="s">
        <v>482</v>
      </c>
      <c r="I31" s="1"/>
      <c r="J31" s="1"/>
      <c r="K31" s="1"/>
      <c r="L31" s="1"/>
    </row>
    <row r="32" customFormat="false" ht="18" hidden="false" customHeight="true" outlineLevel="0" collapsed="false">
      <c r="A32" s="1"/>
      <c r="B32" s="25" t="s">
        <v>483</v>
      </c>
      <c r="C32" s="118" t="s">
        <v>103</v>
      </c>
      <c r="D32" s="25" t="s">
        <v>296</v>
      </c>
      <c r="E32" s="25" t="s">
        <v>104</v>
      </c>
      <c r="F32" s="25" t="s">
        <v>83</v>
      </c>
      <c r="G32" s="25" t="s">
        <v>296</v>
      </c>
      <c r="H32" s="120" t="s">
        <v>484</v>
      </c>
      <c r="I32" s="1"/>
      <c r="J32" s="1"/>
      <c r="K32" s="1"/>
      <c r="L32" s="1"/>
    </row>
    <row r="33" customFormat="false" ht="18" hidden="false" customHeight="true" outlineLevel="0" collapsed="false">
      <c r="A33" s="1"/>
      <c r="B33" s="25" t="s">
        <v>485</v>
      </c>
      <c r="C33" s="118" t="s">
        <v>105</v>
      </c>
      <c r="D33" s="25" t="s">
        <v>296</v>
      </c>
      <c r="E33" s="25" t="s">
        <v>104</v>
      </c>
      <c r="F33" s="25" t="s">
        <v>84</v>
      </c>
      <c r="G33" s="25" t="s">
        <v>296</v>
      </c>
      <c r="H33" s="120" t="s">
        <v>484</v>
      </c>
      <c r="I33" s="1"/>
      <c r="J33" s="1"/>
      <c r="K33" s="1"/>
      <c r="L33" s="1"/>
    </row>
    <row r="34" customFormat="false" ht="18" hidden="false" customHeight="true" outlineLevel="0" collapsed="false">
      <c r="A34" s="1"/>
      <c r="B34" s="25" t="s">
        <v>486</v>
      </c>
      <c r="C34" s="118" t="s">
        <v>106</v>
      </c>
      <c r="D34" s="25" t="s">
        <v>296</v>
      </c>
      <c r="E34" s="25" t="s">
        <v>107</v>
      </c>
      <c r="F34" s="25" t="s">
        <v>85</v>
      </c>
      <c r="G34" s="25" t="s">
        <v>296</v>
      </c>
      <c r="H34" s="120" t="s">
        <v>484</v>
      </c>
      <c r="I34" s="1"/>
      <c r="J34" s="1"/>
      <c r="K34" s="1"/>
      <c r="L34" s="1"/>
    </row>
    <row r="35" customFormat="false" ht="18" hidden="false" customHeight="true" outlineLevel="0" collapsed="false">
      <c r="A35" s="1"/>
      <c r="B35" s="25" t="s">
        <v>487</v>
      </c>
      <c r="C35" s="118" t="s">
        <v>108</v>
      </c>
      <c r="D35" s="25" t="s">
        <v>296</v>
      </c>
      <c r="E35" s="25" t="s">
        <v>104</v>
      </c>
      <c r="F35" s="25" t="s">
        <v>83</v>
      </c>
      <c r="G35" s="25" t="s">
        <v>296</v>
      </c>
      <c r="H35" s="120" t="s">
        <v>484</v>
      </c>
      <c r="I35" s="1"/>
      <c r="J35" s="1"/>
      <c r="K35" s="1"/>
      <c r="L35" s="1"/>
    </row>
    <row r="36" customFormat="false" ht="18" hidden="false" customHeight="true" outlineLevel="0" collapsed="false">
      <c r="A36" s="1"/>
      <c r="B36" s="25" t="s">
        <v>488</v>
      </c>
      <c r="C36" s="118" t="s">
        <v>109</v>
      </c>
      <c r="D36" s="25" t="s">
        <v>296</v>
      </c>
      <c r="E36" s="25" t="s">
        <v>104</v>
      </c>
      <c r="F36" s="25" t="s">
        <v>84</v>
      </c>
      <c r="G36" s="25" t="s">
        <v>296</v>
      </c>
      <c r="H36" s="120" t="s">
        <v>484</v>
      </c>
      <c r="I36" s="1"/>
      <c r="J36" s="1"/>
      <c r="K36" s="1"/>
      <c r="L36" s="1"/>
    </row>
    <row r="37" customFormat="false" ht="18" hidden="false" customHeight="true" outlineLevel="0" collapsed="false">
      <c r="A37" s="1"/>
      <c r="B37" s="25" t="s">
        <v>489</v>
      </c>
      <c r="C37" s="118" t="s">
        <v>110</v>
      </c>
      <c r="D37" s="25" t="s">
        <v>296</v>
      </c>
      <c r="E37" s="25" t="s">
        <v>104</v>
      </c>
      <c r="F37" s="25" t="s">
        <v>85</v>
      </c>
      <c r="G37" s="25" t="s">
        <v>296</v>
      </c>
      <c r="H37" s="120" t="s">
        <v>484</v>
      </c>
      <c r="I37" s="1"/>
      <c r="J37" s="1"/>
      <c r="K37" s="1"/>
      <c r="L37" s="1"/>
    </row>
    <row r="38" customFormat="false" ht="18" hidden="false" customHeight="true" outlineLevel="0" collapsed="false">
      <c r="A38" s="1"/>
      <c r="B38" s="25" t="s">
        <v>490</v>
      </c>
      <c r="C38" s="118" t="s">
        <v>115</v>
      </c>
      <c r="D38" s="25" t="s">
        <v>303</v>
      </c>
      <c r="E38" s="25" t="s">
        <v>116</v>
      </c>
      <c r="F38" s="25" t="s">
        <v>83</v>
      </c>
      <c r="G38" s="25" t="s">
        <v>303</v>
      </c>
      <c r="H38" s="120" t="s">
        <v>484</v>
      </c>
      <c r="I38" s="1"/>
      <c r="J38" s="1"/>
      <c r="K38" s="1"/>
      <c r="L38" s="1"/>
    </row>
    <row r="39" customFormat="false" ht="18" hidden="false" customHeight="true" outlineLevel="0" collapsed="false">
      <c r="A39" s="1"/>
      <c r="B39" s="25" t="s">
        <v>491</v>
      </c>
      <c r="C39" s="118" t="s">
        <v>117</v>
      </c>
      <c r="D39" s="25" t="s">
        <v>303</v>
      </c>
      <c r="E39" s="25" t="s">
        <v>107</v>
      </c>
      <c r="F39" s="25" t="s">
        <v>85</v>
      </c>
      <c r="G39" s="25" t="s">
        <v>303</v>
      </c>
      <c r="H39" s="120" t="s">
        <v>484</v>
      </c>
      <c r="I39" s="1"/>
      <c r="J39" s="1"/>
      <c r="K39" s="1"/>
      <c r="L39" s="1"/>
    </row>
    <row r="40" customFormat="false" ht="18" hidden="false" customHeight="true" outlineLevel="0" collapsed="false">
      <c r="A40" s="1"/>
      <c r="B40" s="25" t="s">
        <v>492</v>
      </c>
      <c r="C40" s="118" t="s">
        <v>118</v>
      </c>
      <c r="D40" s="25" t="s">
        <v>303</v>
      </c>
      <c r="E40" s="25" t="s">
        <v>116</v>
      </c>
      <c r="F40" s="25" t="s">
        <v>84</v>
      </c>
      <c r="G40" s="25" t="s">
        <v>303</v>
      </c>
      <c r="H40" s="120" t="s">
        <v>484</v>
      </c>
      <c r="I40" s="1"/>
      <c r="J40" s="1"/>
      <c r="K40" s="1"/>
      <c r="L40" s="1"/>
    </row>
    <row r="41" customFormat="false" ht="18" hidden="false" customHeight="true" outlineLevel="0" collapsed="false">
      <c r="A41" s="1"/>
      <c r="B41" s="25" t="s">
        <v>493</v>
      </c>
      <c r="C41" s="118" t="s">
        <v>119</v>
      </c>
      <c r="D41" s="25" t="s">
        <v>303</v>
      </c>
      <c r="E41" s="25" t="s">
        <v>116</v>
      </c>
      <c r="F41" s="25" t="s">
        <v>83</v>
      </c>
      <c r="G41" s="25" t="s">
        <v>303</v>
      </c>
      <c r="H41" s="120" t="s">
        <v>484</v>
      </c>
      <c r="I41" s="1"/>
      <c r="J41" s="1"/>
      <c r="K41" s="1"/>
      <c r="L41" s="1"/>
    </row>
    <row r="42" customFormat="false" ht="18" hidden="false" customHeight="true" outlineLevel="0" collapsed="false">
      <c r="A42" s="1"/>
      <c r="B42" s="25" t="s">
        <v>494</v>
      </c>
      <c r="C42" s="118" t="s">
        <v>120</v>
      </c>
      <c r="D42" s="25" t="s">
        <v>303</v>
      </c>
      <c r="E42" s="25" t="s">
        <v>107</v>
      </c>
      <c r="F42" s="25" t="s">
        <v>84</v>
      </c>
      <c r="G42" s="25" t="s">
        <v>303</v>
      </c>
      <c r="H42" s="120" t="s">
        <v>484</v>
      </c>
      <c r="I42" s="1"/>
      <c r="J42" s="1"/>
      <c r="K42" s="1"/>
      <c r="L42" s="1"/>
    </row>
    <row r="43" customFormat="false" ht="18" hidden="false" customHeight="true" outlineLevel="0" collapsed="false">
      <c r="A43" s="1"/>
      <c r="B43" s="25" t="s">
        <v>495</v>
      </c>
      <c r="C43" s="118" t="s">
        <v>121</v>
      </c>
      <c r="D43" s="25" t="s">
        <v>303</v>
      </c>
      <c r="E43" s="25" t="s">
        <v>116</v>
      </c>
      <c r="F43" s="25" t="s">
        <v>85</v>
      </c>
      <c r="G43" s="25" t="s">
        <v>303</v>
      </c>
      <c r="H43" s="120" t="s">
        <v>484</v>
      </c>
      <c r="I43" s="1"/>
      <c r="J43" s="1"/>
      <c r="K43" s="1"/>
      <c r="L43" s="1"/>
    </row>
    <row r="44" customFormat="false" ht="18" hidden="false" customHeight="true" outlineLevel="0" collapsed="false">
      <c r="A44" s="1"/>
      <c r="B44" s="25" t="s">
        <v>496</v>
      </c>
      <c r="C44" s="118" t="s">
        <v>111</v>
      </c>
      <c r="D44" s="25" t="s">
        <v>296</v>
      </c>
      <c r="E44" s="25" t="s">
        <v>107</v>
      </c>
      <c r="F44" s="25" t="s">
        <v>84</v>
      </c>
      <c r="G44" s="25" t="s">
        <v>296</v>
      </c>
      <c r="H44" s="120" t="s">
        <v>484</v>
      </c>
      <c r="I44" s="1"/>
      <c r="J44" s="1"/>
      <c r="K44" s="1"/>
      <c r="L44" s="1"/>
    </row>
    <row r="45" customFormat="false" ht="18" hidden="false" customHeight="true" outlineLevel="0" collapsed="false">
      <c r="A45" s="1"/>
      <c r="B45" s="25" t="s">
        <v>497</v>
      </c>
      <c r="C45" s="118" t="s">
        <v>112</v>
      </c>
      <c r="D45" s="25" t="s">
        <v>296</v>
      </c>
      <c r="E45" s="25" t="s">
        <v>107</v>
      </c>
      <c r="F45" s="25" t="s">
        <v>83</v>
      </c>
      <c r="G45" s="25" t="s">
        <v>296</v>
      </c>
      <c r="H45" s="120" t="s">
        <v>484</v>
      </c>
      <c r="I45" s="1"/>
      <c r="J45" s="1"/>
      <c r="K45" s="1"/>
      <c r="L45" s="1"/>
    </row>
    <row r="46" customFormat="false" ht="18" hidden="false" customHeight="true" outlineLevel="0" collapsed="false">
      <c r="A46" s="1"/>
      <c r="B46" s="25" t="s">
        <v>498</v>
      </c>
      <c r="C46" s="118" t="s">
        <v>122</v>
      </c>
      <c r="D46" s="25" t="s">
        <v>303</v>
      </c>
      <c r="E46" s="25" t="s">
        <v>107</v>
      </c>
      <c r="F46" s="25" t="s">
        <v>85</v>
      </c>
      <c r="G46" s="25" t="s">
        <v>303</v>
      </c>
      <c r="H46" s="120" t="s">
        <v>484</v>
      </c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25.5" hidden="false" customHeight="true" outlineLevel="0" collapsed="false">
      <c r="A49" s="1"/>
      <c r="B49" s="5" t="s">
        <v>499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 customFormat="false" ht="24" hidden="false" customHeight="true" outlineLevel="0" collapsed="false">
      <c r="A50" s="1"/>
      <c r="B50" s="87" t="s">
        <v>500</v>
      </c>
      <c r="C50" s="87" t="s">
        <v>501</v>
      </c>
      <c r="D50" s="87" t="s">
        <v>502</v>
      </c>
      <c r="E50" s="1"/>
      <c r="F50" s="1"/>
      <c r="G50" s="1"/>
      <c r="H50" s="1"/>
      <c r="I50" s="1"/>
      <c r="J50" s="1"/>
      <c r="K50" s="1"/>
      <c r="L50" s="1"/>
    </row>
    <row r="51" customFormat="false" ht="18" hidden="false" customHeight="true" outlineLevel="0" collapsed="false">
      <c r="A51" s="1"/>
      <c r="B51" s="25" t="s">
        <v>503</v>
      </c>
      <c r="C51" s="25" t="s">
        <v>83</v>
      </c>
      <c r="D51" s="25" t="s">
        <v>504</v>
      </c>
      <c r="E51" s="1"/>
      <c r="F51" s="1"/>
      <c r="G51" s="1"/>
      <c r="H51" s="1"/>
      <c r="I51" s="1"/>
      <c r="J51" s="1"/>
      <c r="K51" s="1"/>
      <c r="L51" s="1"/>
    </row>
    <row r="52" customFormat="false" ht="18" hidden="false" customHeight="true" outlineLevel="0" collapsed="false">
      <c r="A52" s="1"/>
      <c r="B52" s="25" t="s">
        <v>505</v>
      </c>
      <c r="C52" s="25" t="s">
        <v>83</v>
      </c>
      <c r="D52" s="25" t="s">
        <v>504</v>
      </c>
      <c r="E52" s="1"/>
      <c r="F52" s="1"/>
      <c r="G52" s="1"/>
      <c r="H52" s="1"/>
      <c r="I52" s="1"/>
      <c r="J52" s="1"/>
      <c r="K52" s="1"/>
      <c r="L52" s="1"/>
    </row>
    <row r="53" customFormat="false" ht="18" hidden="false" customHeight="true" outlineLevel="0" collapsed="false">
      <c r="A53" s="1"/>
      <c r="B53" s="25" t="s">
        <v>506</v>
      </c>
      <c r="C53" s="25" t="s">
        <v>84</v>
      </c>
      <c r="D53" s="25" t="s">
        <v>507</v>
      </c>
      <c r="E53" s="1"/>
      <c r="F53" s="1"/>
      <c r="G53" s="1"/>
      <c r="H53" s="1"/>
      <c r="I53" s="1"/>
      <c r="J53" s="1"/>
      <c r="K53" s="1"/>
      <c r="L53" s="1"/>
    </row>
    <row r="54" customFormat="false" ht="18" hidden="false" customHeight="true" outlineLevel="0" collapsed="false">
      <c r="A54" s="1"/>
      <c r="B54" s="25" t="s">
        <v>508</v>
      </c>
      <c r="C54" s="25" t="s">
        <v>84</v>
      </c>
      <c r="D54" s="25" t="s">
        <v>507</v>
      </c>
      <c r="E54" s="1"/>
      <c r="F54" s="1"/>
      <c r="G54" s="1"/>
      <c r="H54" s="1"/>
      <c r="I54" s="1"/>
      <c r="J54" s="1"/>
      <c r="K54" s="1"/>
      <c r="L54" s="1"/>
    </row>
    <row r="55" customFormat="false" ht="18" hidden="false" customHeight="true" outlineLevel="0" collapsed="false">
      <c r="A55" s="1"/>
      <c r="B55" s="25" t="s">
        <v>509</v>
      </c>
      <c r="C55" s="25" t="s">
        <v>85</v>
      </c>
      <c r="D55" s="25" t="s">
        <v>510</v>
      </c>
      <c r="E55" s="1"/>
      <c r="F55" s="1"/>
      <c r="G55" s="1"/>
      <c r="H55" s="1"/>
      <c r="I55" s="1"/>
      <c r="J55" s="1"/>
      <c r="K55" s="1"/>
      <c r="L55" s="1"/>
    </row>
    <row r="56" customFormat="false" ht="18" hidden="false" customHeight="true" outlineLevel="0" collapsed="false">
      <c r="A56" s="1"/>
      <c r="B56" s="25" t="s">
        <v>511</v>
      </c>
      <c r="C56" s="25" t="s">
        <v>85</v>
      </c>
      <c r="D56" s="25" t="s">
        <v>510</v>
      </c>
      <c r="E56" s="1"/>
      <c r="F56" s="1"/>
      <c r="G56" s="1"/>
      <c r="H56" s="1"/>
      <c r="I56" s="1"/>
      <c r="J56" s="1"/>
      <c r="K56" s="1"/>
      <c r="L56" s="1"/>
    </row>
    <row r="57" customFormat="false" ht="18" hidden="false" customHeight="true" outlineLevel="0" collapsed="false">
      <c r="A57" s="1"/>
      <c r="B57" s="25" t="s">
        <v>512</v>
      </c>
      <c r="C57" s="25" t="s">
        <v>85</v>
      </c>
      <c r="D57" s="25" t="s">
        <v>510</v>
      </c>
      <c r="E57" s="1"/>
      <c r="F57" s="1"/>
      <c r="G57" s="1"/>
      <c r="H57" s="1"/>
      <c r="I57" s="1"/>
      <c r="J57" s="1"/>
      <c r="K57" s="1"/>
      <c r="L57" s="1"/>
    </row>
    <row r="58" customFormat="false" ht="18" hidden="false" customHeight="true" outlineLevel="0" collapsed="false">
      <c r="A58" s="1"/>
      <c r="B58" s="25" t="s">
        <v>513</v>
      </c>
      <c r="C58" s="25" t="s">
        <v>85</v>
      </c>
      <c r="D58" s="25" t="s">
        <v>510</v>
      </c>
      <c r="E58" s="1"/>
      <c r="F58" s="1"/>
      <c r="G58" s="1"/>
      <c r="H58" s="1"/>
      <c r="I58" s="1"/>
      <c r="J58" s="1"/>
      <c r="K58" s="1"/>
      <c r="L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mergeCells count="6">
    <mergeCell ref="B2:N2"/>
    <mergeCell ref="B3:N3"/>
    <mergeCell ref="B5:F5"/>
    <mergeCell ref="B14:N14"/>
    <mergeCell ref="B30:N30"/>
    <mergeCell ref="B49:N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2026-07-01T20:32:38Z</dcterms:created>
  <dc:creator>Z.ai</dc:creator>
  <dc:description/>
  <dc:language>en-US</dc:language>
  <cp:lastModifiedBy/>
  <dcterms:modified xsi:type="dcterms:W3CDTF">2026-07-01T20:32:40Z</dcterms:modified>
  <cp:revision>1</cp:revision>
  <dc:subject/>
  <dc:title>Stripe × Xero Financial Dashboard FY2025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