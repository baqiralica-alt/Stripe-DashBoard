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ADME_Setup" sheetId="2" state="visible" r:id="rId4"/>
    <sheet name="Stripe_Raw" sheetId="3" state="visible" r:id="rId5"/>
    <sheet name="Xero_Raw" sheetId="4" state="visible" r:id="rId6"/>
    <sheet name="Bank_Raw" sheetId="5" state="visible" r:id="rId7"/>
    <sheet name="Meta_Invoices" sheetId="6" state="visible" r:id="rId8"/>
    <sheet name="Assumptions" sheetId="7" state="visible" r:id="rId9"/>
    <sheet name="Credit_Card_Upload" sheetId="8" state="visible" r:id="rId10"/>
    <sheet name="Customer_Invoices_Upload" sheetId="9" state="visible" r:id="rId11"/>
    <sheet name="Vendor_Invoices_Upload" sheetId="10" state="visible" r:id="rId12"/>
    <sheet name="Document_Log" sheetId="11" state="visible" r:id="rId13"/>
    <sheet name="Payables" sheetId="12" state="visible" r:id="rId14"/>
    <sheet name="Revenue_Summary" sheetId="13" state="visible" r:id="rId15"/>
    <sheet name="Expense_Summary" sheetId="14" state="visible" r:id="rId16"/>
    <sheet name="Receivables" sheetId="15" state="visible" r:id="rId17"/>
    <sheet name="Stripe_Invoices_Upload" sheetId="16" state="visible" r:id="rId18"/>
    <sheet name="Expenses_Upload" sheetId="17" state="visible" r:id="rId19"/>
    <sheet name="Revenue_Upload" sheetId="18" state="visible" r:id="rId20"/>
    <sheet name="Customer_Receivables_Report" sheetId="19" state="visible" r:id="rId21"/>
    <sheet name="Trial_Balance" sheetId="20" state="visible" r:id="rId22"/>
    <sheet name="Financial_Statements_IFRS" sheetId="21" state="visible" r:id="rId23"/>
    <sheet name="Financial_Statements_GAAP" sheetId="22" state="visible" r:id="rId2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<sst xmlns="http://schemas.openxmlformats.org/spreadsheetml/2006/main" count="1771" uniqueCount="686">
  <si>
    <t xml:space="preserve">FINANCIAL PERFORMANCE DASHBOARD</t>
  </si>
  <si>
    <t xml:space="preserve">Stripe · Xero · Meta Ads · Bank · Credit Card · Invoice Uploads · IFRS &amp; US GAAP Financials  |  Period: Apr-2026 – Jun-2026 (sample data)</t>
  </si>
  <si>
    <t xml:space="preserve">TOTAL REVENUE (Blended, AED)</t>
  </si>
  <si>
    <t xml:space="preserve">TOTAL EXPENSES (AED)</t>
  </si>
  <si>
    <t xml:space="preserve">NET PROFIT (AED)</t>
  </si>
  <si>
    <t xml:space="preserve">AR OUTSTANDING (AED)</t>
  </si>
  <si>
    <t xml:space="preserve">META AD SPEND (Gross, AED)</t>
  </si>
  <si>
    <t xml:space="preserve">CASH BALANCE (latest, AED)</t>
  </si>
  <si>
    <t xml:space="preserve">AR — UAE (AED)</t>
  </si>
  <si>
    <t xml:space="preserve">AR — SINGAPORE (AED)</t>
  </si>
  <si>
    <t xml:space="preserve">CREDIT CARD SPEND (AED)</t>
  </si>
  <si>
    <t xml:space="preserve">VENDOR UPLOAD EXPENSES (AED)</t>
  </si>
  <si>
    <t xml:space="preserve">AP OUTSTANDING (AED)</t>
  </si>
  <si>
    <t xml:space="preserve">CUSTOMER INVOICE REVENUE (AED)</t>
  </si>
  <si>
    <t xml:space="preserve">NET PROFIT — IFRS (AED)</t>
  </si>
  <si>
    <t xml:space="preserve">NET INCOME — US GAAP (AED)</t>
  </si>
  <si>
    <t xml:space="preserve">TRIAL BALANCE STATUS</t>
  </si>
  <si>
    <t xml:space="preserve">STRIPE RECEIVABLES: OPEN (AED)</t>
  </si>
  <si>
    <t xml:space="preserve">REVENUE BY CATEGORY</t>
  </si>
  <si>
    <t xml:space="preserve">MONTHLY REVENUE TREND (STRIPE + XERO)</t>
  </si>
  <si>
    <t xml:space="preserve">EXPENSE BREAKDOWN (Xero Bills)</t>
  </si>
  <si>
    <t xml:space="preserve">AR OUTSTANDING BY COUNTRY</t>
  </si>
  <si>
    <t xml:space="preserve">META AD SPEND BY CUSTOMER (Gross)</t>
  </si>
  <si>
    <t xml:space="preserve">ACCOUNTS PAYABLE BY VENDOR</t>
  </si>
  <si>
    <t xml:space="preserve">XERO RECEIVABLES BY STATUS (Total)</t>
  </si>
  <si>
    <t xml:space="preserve">STRIPE RECEIVABLES BY STATUS (Total)</t>
  </si>
  <si>
    <t xml:space="preserve">WORKBOOK GUIDE</t>
  </si>
  <si>
    <t xml:space="preserve">README_Setup</t>
  </si>
  <si>
    <t xml:space="preserve">How to connect Stripe/Xero via Power Query, or upload PDF/Word/Excel documents for Claude to extract</t>
  </si>
  <si>
    <t xml:space="preserve">Assumptions</t>
  </si>
  <si>
    <t xml:space="preserve">Edit category keywords &amp; customer→country map here — flows through whole workbook</t>
  </si>
  <si>
    <t xml:space="preserve">Stripe_Raw / Xero_Raw / Bank_Raw / Meta_Invoices</t>
  </si>
  <si>
    <t xml:space="preserve">Raw data from exports/APIs — replace sample rows with real data</t>
  </si>
  <si>
    <t xml:space="preserve">Credit_Card_Upload / Customer_Invoices_Upload / Vendor_Invoices_Upload</t>
  </si>
  <si>
    <t xml:space="preserve">Upload zones for PDF/Word/Excel source documents</t>
  </si>
  <si>
    <t xml:space="preserve">Expenses_Upload / Revenue_Upload</t>
  </si>
  <si>
    <t xml:space="preserve">Catch-all upload zones for misc expenses and "any other services" revenue</t>
  </si>
  <si>
    <t xml:space="preserve">Stripe_Invoices_Upload</t>
  </si>
  <si>
    <t xml:space="preserve">Stripe Invoicing receivables (Draft/Open/Paid/Void/Uncollectible)</t>
  </si>
  <si>
    <t xml:space="preserve">Document_Log</t>
  </si>
  <si>
    <t xml:space="preserve">Audit trail of every source document processed</t>
  </si>
  <si>
    <t xml:space="preserve">Revenue_Summary / Expense_Summary / Receivables / Payables</t>
  </si>
  <si>
    <t xml:space="preserve">Formula-driven analysis feeding this Dashboard</t>
  </si>
  <si>
    <t xml:space="preserve">Customer_Receivables_Report</t>
  </si>
  <si>
    <t xml:space="preserve">Per-customer invoice status breakdown — Xero AND Stripe, incl. Void/Draft/Unsent</t>
  </si>
  <si>
    <t xml:space="preserve">Trial_Balance</t>
  </si>
  <si>
    <t xml:space="preserve">Unified trial balance linking every sub-ledger — Debit = Credit check included</t>
  </si>
  <si>
    <t xml:space="preserve">Financial_Statements_IFRS</t>
  </si>
  <si>
    <t xml:space="preserve">Statement of Profit or Loss, Financial Position, Cash Flows (IFRS)</t>
  </si>
  <si>
    <t xml:space="preserve">Financial_Statements_GAAP</t>
  </si>
  <si>
    <t xml:space="preserve">Income Statement, Balance Sheet, Cash Flows (US GAAP terminology/ordering)</t>
  </si>
  <si>
    <t xml:space="preserve">HOW THIS DASHBOARD IS BUILT &amp; HOW TO CONNECT LIVE DATA</t>
  </si>
  <si>
    <t xml:space="preserve">This workbook is fully formula-driven. It currently contains realistic SAMPLE data so you can see how every number is calculated. Replace the sample rows in the raw tabs with your real data (via Power Query refresh OR manual paste) and every summary, KPI card and chart on the Dashboard recalculates automatically.</t>
  </si>
  <si>
    <t xml:space="preserve">1. WHY THIS CAN’T BE A LIVE, SELF-REFRESHING FILE OUT OF THE BOX</t>
  </si>
  <si>
    <t xml:space="preserve">A standalone .xlsx file cannot hold live API credentials or run a background service — Stripe and Xero both require an authenticated API call (Stripe: secret key; Xero: OAuth2 token that expires and must be refreshed). The safe, standard way to get this data into Excel is Power Query, which runs locally on your machine using YOUR credentials — Anthropic/Claude never sees or stores your keys.</t>
  </si>
  <si>
    <t xml:space="preserve">2. CONNECTING STRIPE VIA POWER QUERY (refreshable, no add-in needed)</t>
  </si>
  <si>
    <t xml:space="preserve">•  In Excel: Data tab → Get Data → From Other Sources → Blank Query → Advanced Editor. Paste the M code below, replacing YOUR_SECRET_KEY with your Stripe secret key (Developers → API keys in the Stripe Dashboard). Use a RESTRICTED key with read-only access to Charges/Payouts.</t>
  </si>
  <si>
    <t xml:space="preserve">let</t>
  </si>
  <si>
    <t xml:space="preserve">    Source = Json.Document(Web.Contents("https://api.stripe.com/v1/charges",</t>
  </si>
  <si>
    <t xml:space="preserve">        [Headers=[Authorization="Bearer YOUR_SECRET_KEY"]])),</t>
  </si>
  <si>
    <t xml:space="preserve">    data = Source[data],</t>
  </si>
  <si>
    <t xml:space="preserve">    #"Converted to Table" = Table.FromList(data, Splitter.SplitByNothing(), null, null, ExtraValues.Error),</t>
  </si>
  <si>
    <t xml:space="preserve">    #"Expanded" = Table.ExpandRecordColumn(#"Converted to Table", "Column1",</t>
  </si>
  <si>
    <t xml:space="preserve">        {"created","amount","currency","status","description","customer"})</t>
  </si>
  <si>
    <t xml:space="preserve">in</t>
  </si>
  <si>
    <t xml:space="preserve">    #"Expanded"</t>
  </si>
  <si>
    <t xml:space="preserve">•  Load the result into the Stripe_Raw tab (Close &amp; Load To → Existing Worksheet → A4), then right-click → Refresh whenever you want updated data. For date filtering / pagination beyond 100 records, add ?limit=100&amp;starting_after=... query parameters or loop with Power Query’s List.Generate.</t>
  </si>
  <si>
    <t xml:space="preserve">3. CONNECTING XERO VIA POWER QUERY (OAuth2)</t>
  </si>
  <si>
    <t xml:space="preserve">Xero requires OAuth2 (no static API key). Steps:</t>
  </si>
  <si>
    <t xml:space="preserve">•  Register an app at developer.xero.com to get a Client ID/Secret and complete the OAuth consent flow once to obtain a refresh token.</t>
  </si>
  <si>
    <t xml:space="preserve">•  In Power Query, use Web.Contents with an Authorization: Bearer &lt;access_token&gt; header, calling https://api.xero.com/api.xro/2.0/Invoices and https://api.xero.com/api.xro/2.0/Bills — the access token expires every 30 minutes, so refresh tokens must be renewed programmatically (a small script/Power Automate flow, or a connector add-in, is the practical way to keep this running unattended).</t>
  </si>
  <si>
    <t xml:space="preserve">•  Simplest alternative: in Xero, go to Business → Invoices (or Bills) → Export to Excel/CSV, then paste the rows straight into Xero_Raw (keep the same column order). This is the recommended approach if you don’t want to manage OAuth token refresh yourself.</t>
  </si>
  <si>
    <t xml:space="preserve">4. META (FACEBOOK ADS) INVOICES — PDF WORKFLOW</t>
  </si>
  <si>
    <t xml:space="preserve">Meta invoices are PDFs, not an API feed most agencies set up for this. Recommended workflow each month:</t>
  </si>
  <si>
    <t xml:space="preserve">•  Download the PDF invoice from Meta Ads Manager → Billing.</t>
  </si>
  <si>
    <t xml:space="preserve">•  For each customer/ad-account line on the PDF, enter one row in Meta_Invoices: Amount Charged (the NET figure Meta shows after any coupon) and Discount/Coupon Applied (shown separately on the PDF). Column I auto-calculates Gross Amount = Charged + Discount.</t>
  </si>
  <si>
    <t xml:space="preserve">•  The per-customer monthly summary table (below the detail rows on Meta_Invoices) automatically totals the Gross Amount by customer and month — this is the single number to use for client re-billing or cost analysis, and it already feeds Expense_Summary and the Dashboard.</t>
  </si>
  <si>
    <t xml:space="preserve">5. BANK STATEMENT</t>
  </si>
  <si>
    <t xml:space="preserve">Export a CSV from your bank portal (Wio Bank or other) and paste into Bank_Raw, columns A–F. The Dashboard’s Cash Balance KPI reads the last value in the Balance column, so keep rows in date order.</t>
  </si>
  <si>
    <t xml:space="preserve">6. KEEPING CATEGORIES ACCURATE</t>
  </si>
  <si>
    <t xml:space="preserve">Revenue and expense categorisation (WhatsApp / Subscription / Development) is driven entirely by the keyword table on the Assumptions tab. If you introduce a new product line or an account name that doesn’t contain one of the existing keywords, add a new keyword row there (and extend the SEARCH() formula in Stripe_Raw!J and Xero_Raw!J if you add a 4th category) — you do not need to touch any summary formulas.</t>
  </si>
  <si>
    <t xml:space="preserve">7. COLOR CODING (used throughout)</t>
  </si>
  <si>
    <t xml:space="preserve">Blue text = hardcoded input (paste your real data here). Black text = formula/calculation. Green text = link pulling from another sheet. Yellow fill = a key assumption cell to review before relying on the numbers.</t>
  </si>
  <si>
    <t xml:space="preserve">8. UPLOADING BANK STATEMENTS, CREDIT CARDS, CUSTOMER &amp; VENDOR INVOICES (PDF / Word / Excel)</t>
  </si>
  <si>
    <t xml:space="preserve">Four dedicated tabs now accept your own source documents directly, without needing Xero or Stripe at all:</t>
  </si>
  <si>
    <t xml:space="preserve">•  Bank_Raw — bank statements (PDF or Excel/CSV)</t>
  </si>
  <si>
    <t xml:space="preserve">•  Credit_Card_Upload — credit card statements (PDF or Excel/CSV)</t>
  </si>
  <si>
    <t xml:space="preserve">•  Customer_Invoices_Upload — customer/AR invoices (PDF or Word)</t>
  </si>
  <si>
    <t xml:space="preserve">•  Vendor_Invoices_Upload — vendor/supplier bills (PDF or Word)</t>
  </si>
  <si>
    <t xml:space="preserve">IMPORTANT — how the extraction actually works</t>
  </si>
  <si>
    <t xml:space="preserve">A plain .xlsx file cannot parse a PDF or Word document by itself — Excel has no native formula that reads PDF/DOCX content, and Word has no Power Query connector at all. There are two reliable ways to get real data into these tabs:</t>
  </si>
  <si>
    <t xml:space="preserve">•  RECOMMENDED: Upload the actual PDF/Word/Excel file to Claude in this chat and ask Claude to extract it into the matching tab. Claude reads the document properly (tables, wrapped text, multi-page statements, even messy PDF-to-text artifacts) and pastes the rows in the exact column format each tab expects — this is the same approach used to build the Meta invoice customer-wise breakdown earlier in this workspace.</t>
  </si>
  <si>
    <t xml:space="preserve">•  SELF-SERVE ALTERNATIVE: For Excel/CSV bank or credit card exports, use Data → Get Data → From File → From Workbook/CSV in Power Query and load into the tab. For PDFs with clean, consistent tables (recent Excel/365 only), Data → Get Data → From File → From PDF can sometimes pull a table directly — but it is unreliable on multi-page or inconsistently formatted statements (page breaks, wrapped text, merged cells), which is exactly what real bank/Meta/vendor PDFs tend to have. Word documents have no Power Query connector at all, so customer/vendor invoices in .docx format need either the Claude-assisted route above or manual copy-paste.</t>
  </si>
  <si>
    <t xml:space="preserve">After the data is in</t>
  </si>
  <si>
    <t xml:space="preserve">Once rows land in Credit_Card_Upload, they roll up into Expense_Summary automatically by category (via the Assumptions keyword map). Customer_Invoices_Upload rows roll into Revenue_Summary and Receivables (aging + country split) automatically. Vendor_Invoices_Upload rows roll into Expense_Summary and the new Payables tab (AP aging by vendor) automatically. Log each processed document on the Document_Log tab for an audit trail of what has been entered, by whom, and when.</t>
  </si>
  <si>
    <t xml:space="preserve">These new tabs are ADDITIVE to Xero_Raw and Bank_Raw — if an invoice or bill is already recorded in Xero_Raw, do not also enter it in Customer_Invoices_Upload / Vendor_Invoices_Upload, or it will be double-counted.</t>
  </si>
  <si>
    <t xml:space="preserve">9. TRIAL BALANCE, IFRS &amp; US GAAP FINANCIAL STATEMENTS</t>
  </si>
  <si>
    <t xml:space="preserve">Trial_Balance links every sub-ledger in this workbook (Bank, Receivables, Payables, Revenue_Summary, Expense_Summary, Expenses_Upload, Revenue_Upload) into one Dr/Cr trial balance, with a live Debit = Credit balance check at the bottom.</t>
  </si>
  <si>
    <t xml:space="preserve">Financial_Statements_IFRS and Financial_Statements_GAAP both build off Trial_Balance — same numbers, different presentation and terminology (e.g. "Profit for the Period" vs "Net Income", "Statement of Financial Position" vs "Balance Sheet").</t>
  </si>
  <si>
    <t xml:space="preserve">IMPORTANT: "Opening Equity" on Trial_Balance is a balancing PLUG (highlighted yellow), not a real number — this sample data has no actual brought-forward trial balance. Replace it with your real opening equity once you have one, and the balance check will confirm everything still ties.</t>
  </si>
  <si>
    <t xml:space="preserve">This is a demonstration template, not a substitute for your accountant: real IFRS/GAAP financials also need a fixed asset register, lease schedule, inventory, provisions, and a proper equity roll-forward — none of which exist in this sample dataset. IFRS and US GAAP are largely converged on revenue recognition (IFRS 15 / ASC 606) but differ in areas like development-cost capitalization (IAS 38 vs ASC 350-40/985) and inventory costing (LIFO permitted under US GAAP, not IFRS) — apply your actual accounting policies for a real filing.</t>
  </si>
  <si>
    <t xml:space="preserve">10. CUSTOMER RECEIVABLES REPORT (Xero + Stripe, by status)</t>
  </si>
  <si>
    <t xml:space="preserve">Customer_Receivables_Report shows every customer’s invoices split by status, for both sources: Xero (Paid / Awaiting Payment / Overdue / Draft / Void / Unsent) and Stripe Invoicing (Paid / Open / Draft / Void / Uncollectible). Stripe_Invoices_Upload is a separate tab from Stripe_Raw — Stripe_Raw holds completed charges, Stripe_Invoices_Upload holds the Invoicing feature’s receivables lifecycle.</t>
  </si>
  <si>
    <t xml:space="preserve">Draft and Void invoices are excluded from "outstanding AR" everywhere else in the workbook (Receivables, Dashboard AR KPIs) since they are not real receivables — but they are still shown here for visibility into your full invoice pipeline.</t>
  </si>
  <si>
    <t xml:space="preserve">STRIPE — RAW TRANSACTION EXPORT (paste your Stripe Payments export below, starting row 4)</t>
  </si>
  <si>
    <t xml:space="preserve">Source: Stripe Dashboard &gt; Payments &gt; Export, or Power Query (see README_Setup). Replace sample data below with real export — keep same column order.</t>
  </si>
  <si>
    <t xml:space="preserve">Date</t>
  </si>
  <si>
    <t xml:space="preserve">Customer</t>
  </si>
  <si>
    <t xml:space="preserve">Description</t>
  </si>
  <si>
    <t xml:space="preserve">Product/Line Item</t>
  </si>
  <si>
    <t xml:space="preserve">Gross Amount (AED)</t>
  </si>
  <si>
    <t xml:space="preserve">Stripe Fee (AED)</t>
  </si>
  <si>
    <t xml:space="preserve">Net Amount (AED)</t>
  </si>
  <si>
    <t xml:space="preserve">Currency</t>
  </si>
  <si>
    <t xml:space="preserve">Status</t>
  </si>
  <si>
    <t xml:space="preserve">Category (auto)</t>
  </si>
  <si>
    <t xml:space="preserve">Almoudi Group Tabuk ST</t>
  </si>
  <si>
    <t xml:space="preserve">WhatsApp API - Monthly Usage - Almoudi</t>
  </si>
  <si>
    <t xml:space="preserve">WhatsApp API - Monthly Usage</t>
  </si>
  <si>
    <t xml:space="preserve">AED</t>
  </si>
  <si>
    <t xml:space="preserve">Paid</t>
  </si>
  <si>
    <t xml:space="preserve">Jarir Bookstore</t>
  </si>
  <si>
    <t xml:space="preserve">Development Retainer - Monthly - Jarir</t>
  </si>
  <si>
    <t xml:space="preserve">Development Retainer - Monthly</t>
  </si>
  <si>
    <t xml:space="preserve">United Homeware Company (Nice)</t>
  </si>
  <si>
    <t xml:space="preserve">Custom Development - Sprint Invoice - United</t>
  </si>
  <si>
    <t xml:space="preserve">Custom Development - Sprint Invoice</t>
  </si>
  <si>
    <t xml:space="preserve">Merck Serono Middle East FZ-Ltd</t>
  </si>
  <si>
    <t xml:space="preserve">Custom Development - Sprint Invoice - Merck</t>
  </si>
  <si>
    <t xml:space="preserve">Development Retainer - Monthly - Almoudi</t>
  </si>
  <si>
    <t xml:space="preserve">Growth X Ventures LLC</t>
  </si>
  <si>
    <t xml:space="preserve">WhatsApp API - Monthly Usage - Growth</t>
  </si>
  <si>
    <t xml:space="preserve">I Farmer Pte Ltd</t>
  </si>
  <si>
    <t xml:space="preserve">Subscription - Pro Plan - I</t>
  </si>
  <si>
    <t xml:space="preserve">Subscription - Pro Plan</t>
  </si>
  <si>
    <t xml:space="preserve">WhatsApp API - Monthly Usage - United</t>
  </si>
  <si>
    <t xml:space="preserve">Nishat Linen UAE</t>
  </si>
  <si>
    <t xml:space="preserve">Subscription - Pro Plan - Nishat</t>
  </si>
  <si>
    <t xml:space="preserve">Subscription - Enterprise Plan - United</t>
  </si>
  <si>
    <t xml:space="preserve">Subscription - Enterprise Plan</t>
  </si>
  <si>
    <t xml:space="preserve">WhatsApp Business Platform Fee - Almoudi</t>
  </si>
  <si>
    <t xml:space="preserve">WhatsApp Business Platform Fee</t>
  </si>
  <si>
    <t xml:space="preserve">WhatsApp API - Monthly Usage - Merck</t>
  </si>
  <si>
    <t xml:space="preserve">WhatsApp Business Platform Fee - I</t>
  </si>
  <si>
    <t xml:space="preserve">Faysal Bank</t>
  </si>
  <si>
    <t xml:space="preserve">Development Retainer - Monthly - Faysal</t>
  </si>
  <si>
    <t xml:space="preserve">Ticket Wala</t>
  </si>
  <si>
    <t xml:space="preserve">Development Retainer - Monthly - Ticket</t>
  </si>
  <si>
    <t xml:space="preserve">Al Fardan Exchange - Sole Proprietorship L.L.C</t>
  </si>
  <si>
    <t xml:space="preserve">WhatsApp Business Platform Fee - Al</t>
  </si>
  <si>
    <t xml:space="preserve">Subscription - Pro Plan - Faysal</t>
  </si>
  <si>
    <t xml:space="preserve">Subscription - Enterprise Plan - Almoudi</t>
  </si>
  <si>
    <t xml:space="preserve">Custom Development - Sprint Invoice - Ticket</t>
  </si>
  <si>
    <t xml:space="preserve">Subscription - Enterprise Plan - Nishat</t>
  </si>
  <si>
    <t xml:space="preserve">Refunded</t>
  </si>
  <si>
    <t xml:space="preserve">Subscription - Enterprise Plan - Ticket</t>
  </si>
  <si>
    <t xml:space="preserve">Custom Development - Sprint Invoice - Growth</t>
  </si>
  <si>
    <t xml:space="preserve">Subscription - Pro Plan - Ticket</t>
  </si>
  <si>
    <t xml:space="preserve">Misfit Technologies Pte Ltd</t>
  </si>
  <si>
    <t xml:space="preserve">WhatsApp Business Platform Fee - Misfit</t>
  </si>
  <si>
    <t xml:space="preserve">Development Retainer - Monthly - United</t>
  </si>
  <si>
    <t xml:space="preserve">WhatsApp Business Platform Fee - Merck</t>
  </si>
  <si>
    <t xml:space="preserve">WhatsApp API - Monthly Usage - Ticket</t>
  </si>
  <si>
    <t xml:space="preserve">WhatsApp Business Platform Fee - Ticket</t>
  </si>
  <si>
    <t xml:space="preserve">Subscription - Pro Plan - Jarir</t>
  </si>
  <si>
    <t xml:space="preserve">Subscription - Enterprise Plan - Growth</t>
  </si>
  <si>
    <t xml:space="preserve">Custom Development - Sprint Invoice - Al</t>
  </si>
  <si>
    <t xml:space="preserve">XERO — RAW LEDGER EXPORT (Invoices + Bills, paste your Xero export below, starting row 4)</t>
  </si>
  <si>
    <t xml:space="preserve">Source: Xero &gt; Business &gt; Invoices/Bills &gt; Export, or Power Query (see README_Setup). Type = "Invoice" (AR/Sales) or "Bill" (AP/Expense).</t>
  </si>
  <si>
    <t xml:space="preserve">Due Date</t>
  </si>
  <si>
    <t xml:space="preserve">Type</t>
  </si>
  <si>
    <t xml:space="preserve">Contact</t>
  </si>
  <si>
    <t xml:space="preserve">Country (auto)</t>
  </si>
  <si>
    <t xml:space="preserve">Account/Line Item</t>
  </si>
  <si>
    <t xml:space="preserve">Amount (AED)</t>
  </si>
  <si>
    <t xml:space="preserve">Invoice</t>
  </si>
  <si>
    <t xml:space="preserve">Subscription - Pro Plan - Apr-2026</t>
  </si>
  <si>
    <t xml:space="preserve">Draft</t>
  </si>
  <si>
    <t xml:space="preserve">Curahealth K.S.C.C.</t>
  </si>
  <si>
    <t xml:space="preserve">WhatsApp Business Platform Fee - Apr-2026</t>
  </si>
  <si>
    <t xml:space="preserve">Custom Development - Sprint Invoice - Apr-2026</t>
  </si>
  <si>
    <t xml:space="preserve">Void</t>
  </si>
  <si>
    <t xml:space="preserve">Subscription - Enterprise Plan - Apr-2026</t>
  </si>
  <si>
    <t xml:space="preserve">Unsent</t>
  </si>
  <si>
    <t xml:space="preserve">Development Retainer - Monthly - Apr-2026</t>
  </si>
  <si>
    <t xml:space="preserve">Bill</t>
  </si>
  <si>
    <t xml:space="preserve">Salary - General &amp; Administration</t>
  </si>
  <si>
    <t xml:space="preserve">Salary - General &amp; Administration - Apr-2026</t>
  </si>
  <si>
    <t xml:space="preserve">Travel Expense</t>
  </si>
  <si>
    <t xml:space="preserve">Travel Expense - Apr-2026</t>
  </si>
  <si>
    <t xml:space="preserve">Office Rent</t>
  </si>
  <si>
    <t xml:space="preserve">Office Rent - Apr-2026</t>
  </si>
  <si>
    <t xml:space="preserve">Trade License Fee</t>
  </si>
  <si>
    <t xml:space="preserve">Trade License Fee - Apr-2026</t>
  </si>
  <si>
    <t xml:space="preserve">WhatsApp Business Platform Fee - May-2026</t>
  </si>
  <si>
    <t xml:space="preserve">Subscription - Pro Plan - May-2026</t>
  </si>
  <si>
    <t xml:space="preserve">Awaiting Payment</t>
  </si>
  <si>
    <t xml:space="preserve">Development Retainer - Monthly - May-2026</t>
  </si>
  <si>
    <t xml:space="preserve">Custom Development - Sprint Invoice - May-2026</t>
  </si>
  <si>
    <t xml:space="preserve">Overdue</t>
  </si>
  <si>
    <t xml:space="preserve">WhatsApp API - Monthly Usage - May-2026</t>
  </si>
  <si>
    <t xml:space="preserve">Trade License Fee - May-2026</t>
  </si>
  <si>
    <t xml:space="preserve">Travel Expense - May-2026</t>
  </si>
  <si>
    <t xml:space="preserve">Office Rent - May-2026</t>
  </si>
  <si>
    <t xml:space="preserve">Consulting Fees - Development</t>
  </si>
  <si>
    <t xml:space="preserve">Consulting Fees - Development - May-2026</t>
  </si>
  <si>
    <t xml:space="preserve">WhatsApp API - Monthly Usage - Jun-2026</t>
  </si>
  <si>
    <t xml:space="preserve">Development Retainer - Monthly - Jun-2026</t>
  </si>
  <si>
    <t xml:space="preserve">Custom Development - Sprint Invoice - Jun-2026</t>
  </si>
  <si>
    <t xml:space="preserve">Subscription - Pro Plan - Jun-2026</t>
  </si>
  <si>
    <t xml:space="preserve">Travel Expense - Jun-2026</t>
  </si>
  <si>
    <t xml:space="preserve">Salary - General &amp; Administration - Jun-2026</t>
  </si>
  <si>
    <t xml:space="preserve">SaaS &amp; Software Subscriptions</t>
  </si>
  <si>
    <t xml:space="preserve">SaaS &amp; Software Subscriptions - Jun-2026</t>
  </si>
  <si>
    <t xml:space="preserve">Office Rent - Jun-2026</t>
  </si>
  <si>
    <t xml:space="preserve">BANK STATEMENT — RAW EXPORT (paste your bank statement CSV/PDF-extracted lines below, starting row 4)</t>
  </si>
  <si>
    <t xml:space="preserve">Source: Wio Bank / bank portal statement export. Used for cash position reconciliation on Dashboard.</t>
  </si>
  <si>
    <t xml:space="preserve">Account</t>
  </si>
  <si>
    <t xml:space="preserve">Money In (AED)</t>
  </si>
  <si>
    <t xml:space="preserve">Money Out (AED)</t>
  </si>
  <si>
    <t xml:space="preserve">Balance (AED)</t>
  </si>
  <si>
    <t xml:space="preserve">Wio Bank PJSC - 650 (USD)</t>
  </si>
  <si>
    <t xml:space="preserve">Salary run</t>
  </si>
  <si>
    <t xml:space="preserve">Wio Bank PJSC - 451 (AED)</t>
  </si>
  <si>
    <t xml:space="preserve">Customer receipt</t>
  </si>
  <si>
    <t xml:space="preserve">SaaS subscription</t>
  </si>
  <si>
    <t xml:space="preserve">Meta Ads payment</t>
  </si>
  <si>
    <t xml:space="preserve">Office rent</t>
  </si>
  <si>
    <t xml:space="preserve">Supplier payment</t>
  </si>
  <si>
    <t xml:space="preserve">META (FACEBOOK/INSTAGRAM ADS) — MONTHLY INVOICE DETAIL, RE-CHARGED TO CUSTOMERS</t>
  </si>
  <si>
    <t xml:space="preserve">Each Meta PDF invoice bundles multiple customer ad accounts. Enter one row per customer/campaign line as shown on the PDF. Meta shows "Amount Charged" NET of any coupon/discount applied — Gross Amount below ADDS the discount back, so the single Gross figure reflects the true ad spend value delivered per customer before any Meta promo credit.</t>
  </si>
  <si>
    <t xml:space="preserve">Invoice Date</t>
  </si>
  <si>
    <t xml:space="preserve">Invoice No.</t>
  </si>
  <si>
    <t xml:space="preserve">Month</t>
  </si>
  <si>
    <t xml:space="preserve">Ad Account ID</t>
  </si>
  <si>
    <t xml:space="preserve">Campaign</t>
  </si>
  <si>
    <t xml:space="preserve">Amount Charged (Net, AED)</t>
  </si>
  <si>
    <t xml:space="preserve">Discount / Coupon Applied (AED)</t>
  </si>
  <si>
    <t xml:space="preserve">Gross Amount (Charged+Discount) (AED)</t>
  </si>
  <si>
    <t xml:space="preserve">Notes</t>
  </si>
  <si>
    <t xml:space="preserve">META-100231</t>
  </si>
  <si>
    <t xml:space="preserve">act_961168</t>
  </si>
  <si>
    <t xml:space="preserve">Prospecting - Reach</t>
  </si>
  <si>
    <t xml:space="preserve">Coupon applied</t>
  </si>
  <si>
    <t xml:space="preserve">act_139317</t>
  </si>
  <si>
    <t xml:space="preserve">act_161981</t>
  </si>
  <si>
    <t xml:space="preserve">act_711316</t>
  </si>
  <si>
    <t xml:space="preserve">act_239643</t>
  </si>
  <si>
    <t xml:space="preserve">Brand Awareness</t>
  </si>
  <si>
    <t xml:space="preserve">act_687472</t>
  </si>
  <si>
    <t xml:space="preserve">Retargeting - Conversions</t>
  </si>
  <si>
    <t xml:space="preserve">act_490487</t>
  </si>
  <si>
    <t xml:space="preserve">act_620528</t>
  </si>
  <si>
    <t xml:space="preserve">Lead Gen - Lookalike</t>
  </si>
  <si>
    <t xml:space="preserve">act_479146</t>
  </si>
  <si>
    <t xml:space="preserve">act_185831</t>
  </si>
  <si>
    <t xml:space="preserve">META-100232</t>
  </si>
  <si>
    <t xml:space="preserve">act_401924</t>
  </si>
  <si>
    <t xml:space="preserve">act_259367</t>
  </si>
  <si>
    <t xml:space="preserve">act_901710</t>
  </si>
  <si>
    <t xml:space="preserve">act_935601</t>
  </si>
  <si>
    <t xml:space="preserve">act_597128</t>
  </si>
  <si>
    <t xml:space="preserve">act_814328</t>
  </si>
  <si>
    <t xml:space="preserve">act_463861</t>
  </si>
  <si>
    <t xml:space="preserve">act_617674</t>
  </si>
  <si>
    <t xml:space="preserve">act_509940</t>
  </si>
  <si>
    <t xml:space="preserve">META-100233</t>
  </si>
  <si>
    <t xml:space="preserve">act_243577</t>
  </si>
  <si>
    <t xml:space="preserve">act_815887</t>
  </si>
  <si>
    <t xml:space="preserve">act_343224</t>
  </si>
  <si>
    <t xml:space="preserve">act_375509</t>
  </si>
  <si>
    <t xml:space="preserve">act_434088</t>
  </si>
  <si>
    <t xml:space="preserve">act_813634</t>
  </si>
  <si>
    <t xml:space="preserve">act_165271</t>
  </si>
  <si>
    <t xml:space="preserve">act_456572</t>
  </si>
  <si>
    <t xml:space="preserve">PER-CUSTOMER MONTHLY SUMMARY — SINGLE GROSS AMOUNT (DISCOUNT ADDED BACK)</t>
  </si>
  <si>
    <t xml:space="preserve">Total Amount Charged (Net, AED)</t>
  </si>
  <si>
    <t xml:space="preserve">Total Discount Added Back (AED)</t>
  </si>
  <si>
    <t xml:space="preserve">Single Gross Amount (AED)</t>
  </si>
  <si>
    <t xml:space="preserve">Apr-2026</t>
  </si>
  <si>
    <t xml:space="preserve">May-2026</t>
  </si>
  <si>
    <t xml:space="preserve">Jun-2026</t>
  </si>
  <si>
    <t xml:space="preserve">ASSUMPTIONS &amp; MAPPING TABLES — EDIT THESE (BLUE) TO RECLASSIFY DATA ACROSS THE WHOLE DASHBOARD</t>
  </si>
  <si>
    <t xml:space="preserve">REVENUE CATEGORY KEYWORD MAP</t>
  </si>
  <si>
    <t xml:space="preserve">CUSTOMER → COUNTRY MAP  (drives UAE / Singapore / Other split on Receivables tab)</t>
  </si>
  <si>
    <t xml:space="preserve">#</t>
  </si>
  <si>
    <t xml:space="preserve">Keyword (searched in Description, not case-sensitive)</t>
  </si>
  <si>
    <t xml:space="preserve">Maps to Category</t>
  </si>
  <si>
    <t xml:space="preserve">Customer / Contact Name</t>
  </si>
  <si>
    <t xml:space="preserve">Country</t>
  </si>
  <si>
    <t xml:space="preserve">whatsapp</t>
  </si>
  <si>
    <t xml:space="preserve">WhatsApp</t>
  </si>
  <si>
    <t xml:space="preserve">UAE</t>
  </si>
  <si>
    <t xml:space="preserve">subscription</t>
  </si>
  <si>
    <t xml:space="preserve">Subscription</t>
  </si>
  <si>
    <t xml:space="preserve">development</t>
  </si>
  <si>
    <t xml:space="preserve">Development</t>
  </si>
  <si>
    <t xml:space="preserve">Saudi Arabia</t>
  </si>
  <si>
    <t xml:space="preserve">Note: rows 5-7 are referenced directly by formulas in Stripe_Raw!J and Xero_Raw!J. To add a 4th category, extend the formula in those sheets.</t>
  </si>
  <si>
    <t xml:space="preserve">Singapore</t>
  </si>
  <si>
    <t xml:space="preserve">Kuwait</t>
  </si>
  <si>
    <t xml:space="preserve">Pakistan</t>
  </si>
  <si>
    <t xml:space="preserve">Add new rows here as new customers/contacts appear in Xero — VLOOKUP range is $G$5:$H$16, extend if needed.</t>
  </si>
  <si>
    <t xml:space="preserve">COLOR LEGEND</t>
  </si>
  <si>
    <t xml:space="preserve">Blue text</t>
  </si>
  <si>
    <t xml:space="preserve">Hardcoded input — raw data pasted from Stripe/Xero/bank/Meta exports, or editable assumptions</t>
  </si>
  <si>
    <t xml:space="preserve">Black text</t>
  </si>
  <si>
    <t xml:space="preserve">Formula / calculation</t>
  </si>
  <si>
    <t xml:space="preserve">Green text</t>
  </si>
  <si>
    <t xml:space="preserve">Link pulling from another sheet in this workbook</t>
  </si>
  <si>
    <t xml:space="preserve">Yellow fill</t>
  </si>
  <si>
    <t xml:space="preserve">Key assumption cell — review/update before relying on outputs</t>
  </si>
  <si>
    <t xml:space="preserve">GENERAL ASSUMPTIONS</t>
  </si>
  <si>
    <t xml:space="preserve">Reporting Currency</t>
  </si>
  <si>
    <t xml:space="preserve">AR Aging Buckets (days)</t>
  </si>
  <si>
    <t xml:space="preserve">0-30 / 31-60 / 61-90 / 90+</t>
  </si>
  <si>
    <t xml:space="preserve">Dashboard Period</t>
  </si>
  <si>
    <t xml:space="preserve">Apr-2026 to Jun-2026 (sample data)</t>
  </si>
  <si>
    <t xml:space="preserve">CREDIT CARD STATEMENTS — UPLOAD ZONE</t>
  </si>
  <si>
    <t xml:space="preserve">HOW TO USE: 1) Upload your credit card statement (PDF or Excel/CSV) in the chat to Claude and ask it to extract the transactions into this tab — Claude will read the statement and paste the rows below in this exact format. 2) Or paste your own exported transactions manually, keeping the same columns. Category is auto-classified from the Assumptions keyword map; anything unmatched shows "Other Services" — add keywords in Assumptions if needed.</t>
  </si>
  <si>
    <t xml:space="preserve">Source File</t>
  </si>
  <si>
    <t xml:space="preserve">Statement Period</t>
  </si>
  <si>
    <t xml:space="preserve">Transaction Date</t>
  </si>
  <si>
    <t xml:space="preserve">Card / Last 4 Digits</t>
  </si>
  <si>
    <t xml:space="preserve">Merchant / Description</t>
  </si>
  <si>
    <t xml:space="preserve">CC_Statement_Apr2026.pdf</t>
  </si>
  <si>
    <t xml:space="preserve">Visa ***4821</t>
  </si>
  <si>
    <t xml:space="preserve">Meta Platforms - Ad Spend Top-up</t>
  </si>
  <si>
    <t xml:space="preserve">AWS Cloud Hosting</t>
  </si>
  <si>
    <t xml:space="preserve">Office Supplies - Depot</t>
  </si>
  <si>
    <t xml:space="preserve">Google Workspace Subscription</t>
  </si>
  <si>
    <t xml:space="preserve">Careem - Business Travel</t>
  </si>
  <si>
    <t xml:space="preserve">Zoom Subscription</t>
  </si>
  <si>
    <t xml:space="preserve">CC_Statement_May2026.pdf</t>
  </si>
  <si>
    <t xml:space="preserve">WhatsApp Business API - Twilio</t>
  </si>
  <si>
    <t xml:space="preserve">Freelancer.com - Development Contractor</t>
  </si>
  <si>
    <t xml:space="preserve">CC_Statement_Jun2026.pdf</t>
  </si>
  <si>
    <t xml:space="preserve">CUSTOMER INVOICES (AR) — UPLOAD ZONE</t>
  </si>
  <si>
    <t xml:space="preserve">HOW TO USE: Upload customer invoice files (PDF or Word) in the chat and ask Claude to extract them into this tab — one row per invoice. Or paste manually if you already have the data. Country is auto-looked-up from the Assumptions customer→country map (add new customers there if missing). These rows flow into Revenue_Summary and Receivables alongside any Xero invoices, so they are additive, not a duplicate — do not also enter the same invoice in Xero_Raw.</t>
  </si>
  <si>
    <t xml:space="preserve">Description / Line Item</t>
  </si>
  <si>
    <t xml:space="preserve">CustInvoice_5002.pdf</t>
  </si>
  <si>
    <t xml:space="preserve">INV-5002</t>
  </si>
  <si>
    <t xml:space="preserve">WhatsApp API - Monthly Usage - Apr-2026</t>
  </si>
  <si>
    <t xml:space="preserve">CustInvoice_5003.pdf</t>
  </si>
  <si>
    <t xml:space="preserve">INV-5003</t>
  </si>
  <si>
    <t xml:space="preserve">CustInvoice_5004.pdf</t>
  </si>
  <si>
    <t xml:space="preserve">INV-5004</t>
  </si>
  <si>
    <t xml:space="preserve">CustInvoice_5005.pdf</t>
  </si>
  <si>
    <t xml:space="preserve">INV-5005</t>
  </si>
  <si>
    <t xml:space="preserve">CustInvoice_5006.pdf</t>
  </si>
  <si>
    <t xml:space="preserve">INV-5006</t>
  </si>
  <si>
    <t xml:space="preserve">CustInvoice_5007.pdf</t>
  </si>
  <si>
    <t xml:space="preserve">INV-5007</t>
  </si>
  <si>
    <t xml:space="preserve">CustInvoice_5008.pdf</t>
  </si>
  <si>
    <t xml:space="preserve">INV-5008</t>
  </si>
  <si>
    <t xml:space="preserve">CustInvoice_5009.pdf</t>
  </si>
  <si>
    <t xml:space="preserve">INV-5009</t>
  </si>
  <si>
    <t xml:space="preserve">CustInvoice_5010.pdf</t>
  </si>
  <si>
    <t xml:space="preserve">INV-5010</t>
  </si>
  <si>
    <t xml:space="preserve">CustInvoice_5011.pdf</t>
  </si>
  <si>
    <t xml:space="preserve">INV-5011</t>
  </si>
  <si>
    <t xml:space="preserve">CustInvoice_5012.pdf</t>
  </si>
  <si>
    <t xml:space="preserve">INV-5012</t>
  </si>
  <si>
    <t xml:space="preserve">CustInvoice_5013.pdf</t>
  </si>
  <si>
    <t xml:space="preserve">INV-5013</t>
  </si>
  <si>
    <t xml:space="preserve">CustInvoice_5014.pdf</t>
  </si>
  <si>
    <t xml:space="preserve">INV-5014</t>
  </si>
  <si>
    <t xml:space="preserve">CustInvoice_5015.pdf</t>
  </si>
  <si>
    <t xml:space="preserve">INV-5015</t>
  </si>
  <si>
    <t xml:space="preserve">CustInvoice_5016.pdf</t>
  </si>
  <si>
    <t xml:space="preserve">INV-5016</t>
  </si>
  <si>
    <t xml:space="preserve">VENDOR / SUPPLIER INVOICES (AP) — UPLOAD ZONE</t>
  </si>
  <si>
    <t xml:space="preserve">HOW TO USE: Upload vendor bill files (PDF or Word) in the chat and ask Claude to extract them into this tab — one row per bill. Or paste manually. These rows flow into Expense_Summary and the Payables tab alongside any Xero bills, so they are additive — do not also enter the same bill in Xero_Raw.</t>
  </si>
  <si>
    <t xml:space="preserve">Vendor</t>
  </si>
  <si>
    <t xml:space="preserve">VendorBill_9002.pdf</t>
  </si>
  <si>
    <t xml:space="preserve">BILL-9002</t>
  </si>
  <si>
    <t xml:space="preserve">Emirates Trade License Authority</t>
  </si>
  <si>
    <t xml:space="preserve">Emirates Trade License Authority - Apr-2026</t>
  </si>
  <si>
    <t xml:space="preserve">VendorBill_9003.pdf</t>
  </si>
  <si>
    <t xml:space="preserve">BILL-9003</t>
  </si>
  <si>
    <t xml:space="preserve">Twilio Inc (WhatsApp API)</t>
  </si>
  <si>
    <t xml:space="preserve">Twilio Inc (WhatsApp API) - Apr-2026</t>
  </si>
  <si>
    <t xml:space="preserve">VendorBill_9004.pdf</t>
  </si>
  <si>
    <t xml:space="preserve">BILL-9004</t>
  </si>
  <si>
    <t xml:space="preserve">VendorBill_9005.pdf</t>
  </si>
  <si>
    <t xml:space="preserve">BILL-9005</t>
  </si>
  <si>
    <t xml:space="preserve">VendorBill_9006.pdf</t>
  </si>
  <si>
    <t xml:space="preserve">BILL-9006</t>
  </si>
  <si>
    <t xml:space="preserve">Freelance Dev Studio FZE</t>
  </si>
  <si>
    <t xml:space="preserve">Freelance Dev Studio FZE - May-2026</t>
  </si>
  <si>
    <t xml:space="preserve">VendorBill_9007.pdf</t>
  </si>
  <si>
    <t xml:space="preserve">BILL-9007</t>
  </si>
  <si>
    <t xml:space="preserve">WPP Cloud Hosting LLC</t>
  </si>
  <si>
    <t xml:space="preserve">WPP Cloud Hosting LLC - May-2026</t>
  </si>
  <si>
    <t xml:space="preserve">VendorBill_9008.pdf</t>
  </si>
  <si>
    <t xml:space="preserve">BILL-9008</t>
  </si>
  <si>
    <t xml:space="preserve">VendorBill_9009.pdf</t>
  </si>
  <si>
    <t xml:space="preserve">BILL-9009</t>
  </si>
  <si>
    <t xml:space="preserve">VendorBill_9010.pdf</t>
  </si>
  <si>
    <t xml:space="preserve">BILL-9010</t>
  </si>
  <si>
    <t xml:space="preserve">Emirates Trade License Authority - Jun-2026</t>
  </si>
  <si>
    <t xml:space="preserve">VendorBill_9011.pdf</t>
  </si>
  <si>
    <t xml:space="preserve">BILL-9011</t>
  </si>
  <si>
    <t xml:space="preserve">Twilio Inc (WhatsApp API) - Jun-2026</t>
  </si>
  <si>
    <t xml:space="preserve">VendorBill_9012.pdf</t>
  </si>
  <si>
    <t xml:space="preserve">BILL-9012</t>
  </si>
  <si>
    <t xml:space="preserve">WPP Cloud Hosting LLC - Jun-2026</t>
  </si>
  <si>
    <t xml:space="preserve">VendorBill_9013.pdf</t>
  </si>
  <si>
    <t xml:space="preserve">BILL-9013</t>
  </si>
  <si>
    <t xml:space="preserve">SOURCE DOCUMENT LOG — AUDIT TRAIL</t>
  </si>
  <si>
    <t xml:space="preserve">Every time a bank statement, credit card statement, customer invoice, or vendor invoice is uploaded and extracted, log it here. This gives a clear audit trail of what has been processed, by whom, and where the extracted rows landed — useful for reconciliation and audit sign-off.</t>
  </si>
  <si>
    <t xml:space="preserve">Date Logged</t>
  </si>
  <si>
    <t xml:space="preserve">Source File Name</t>
  </si>
  <si>
    <t xml:space="preserve">Document Type</t>
  </si>
  <si>
    <t xml:space="preserve">Period Covered</t>
  </si>
  <si>
    <t xml:space="preserve">Rows Extracted</t>
  </si>
  <si>
    <t xml:space="preserve">Extracted Into Tab</t>
  </si>
  <si>
    <t xml:space="preserve">Extracted By</t>
  </si>
  <si>
    <t xml:space="preserve">Status / Notes</t>
  </si>
  <si>
    <t xml:space="preserve">BankStatement_Apr2026.pdf</t>
  </si>
  <si>
    <t xml:space="preserve">Bank Statement</t>
  </si>
  <si>
    <t xml:space="preserve">Bank_Raw</t>
  </si>
  <si>
    <t xml:space="preserve">Claude (AI-assisted)</t>
  </si>
  <si>
    <t xml:space="preserve">Sample — replace with real log entries</t>
  </si>
  <si>
    <t xml:space="preserve">CC_StatementApr2026.pdf</t>
  </si>
  <si>
    <t xml:space="preserve">Credit Card</t>
  </si>
  <si>
    <t xml:space="preserve">Credit_Card_Upload</t>
  </si>
  <si>
    <t xml:space="preserve">Sample</t>
  </si>
  <si>
    <t xml:space="preserve">Customer Invoice</t>
  </si>
  <si>
    <t xml:space="preserve">Customer_Invoices_Upload</t>
  </si>
  <si>
    <t xml:space="preserve">Vendor Invoice</t>
  </si>
  <si>
    <t xml:space="preserve">Vendor_Invoices_Upload</t>
  </si>
  <si>
    <t xml:space="preserve">ACCOUNTS PAYABLE — AGING BY VENDOR (Vendor Invoice Uploads + Xero Bills)</t>
  </si>
  <si>
    <t xml:space="preserve">Outstanding = Vendor_Invoices_Upload rows with Status ≠ Paid, plus Xero_Raw Bills with Status ≠ Paid. As-of date drives aging buckets.</t>
  </si>
  <si>
    <t xml:space="preserve">As-of Date:</t>
  </si>
  <si>
    <t xml:space="preserve">OUTSTANDING VENDOR INVOICE DETAIL — Vendor_Invoices_Upload</t>
  </si>
  <si>
    <t xml:space="preserve">Days Overdue</t>
  </si>
  <si>
    <t xml:space="preserve">Aging Bucket</t>
  </si>
  <si>
    <t xml:space="preserve">OUTSTANDING XERO BILLS DETAIL — Xero_Raw</t>
  </si>
  <si>
    <t xml:space="preserve">PAYABLES SUMMARY BY VENDOR (0-30 / 31-60 / 61-90 / 90+)</t>
  </si>
  <si>
    <t xml:space="preserve">0-30 days</t>
  </si>
  <si>
    <t xml:space="preserve">31-60 days</t>
  </si>
  <si>
    <t xml:space="preserve">61-90 days</t>
  </si>
  <si>
    <t xml:space="preserve">90+ days</t>
  </si>
  <si>
    <t xml:space="preserve">Total Outstanding</t>
  </si>
  <si>
    <t xml:space="preserve">Al Manara Office Supplies</t>
  </si>
  <si>
    <t xml:space="preserve">Total AP Outstanding</t>
  </si>
  <si>
    <t xml:space="preserve">REVENUE ANALYSIS — BY CATEGORY, BY MONTH  (Stripe + Xero + Customer Invoice Uploads)</t>
  </si>
  <si>
    <t xml:space="preserve">Categories sourced from Assumptions keyword map. All figures link live via SUMIFS — replace raw data and this table updates automatically.</t>
  </si>
  <si>
    <t xml:space="preserve">STRIPE COLLECTIONS (Gross Amount, AED) — by Category</t>
  </si>
  <si>
    <t xml:space="preserve">Category</t>
  </si>
  <si>
    <t xml:space="preserve">Total</t>
  </si>
  <si>
    <t xml:space="preserve">Other Services</t>
  </si>
  <si>
    <t xml:space="preserve">Total Stripe Revenue</t>
  </si>
  <si>
    <t xml:space="preserve">XERO INVOICED SALES (Amount, AED) — by Category  [all invoice statuses]</t>
  </si>
  <si>
    <t xml:space="preserve">Total Xero Invoiced Sales</t>
  </si>
  <si>
    <t xml:space="preserve">CUSTOMER INVOICE UPLOADS (Amount, AED) — by Category  [all statuses]</t>
  </si>
  <si>
    <t xml:space="preserve">Total Customer Invoice Uploads</t>
  </si>
  <si>
    <t xml:space="preserve">BLENDED TOTAL REVENUE BY CATEGORY (Stripe + Xero + Customer Invoice Uploads)</t>
  </si>
  <si>
    <t xml:space="preserve">Total Revenue (AED)</t>
  </si>
  <si>
    <t xml:space="preserve">% of Total</t>
  </si>
  <si>
    <t xml:space="preserve">Grand Total</t>
  </si>
  <si>
    <t xml:space="preserve">EXPENSE ANALYSIS — XERO BILLS + META AD SPEND + CREDIT CARD + VENDOR INVOICE UPLOADS</t>
  </si>
  <si>
    <t xml:space="preserve">Meta uses Gross Amount (discount added back). Credit Card and Vendor Invoice Uploads are additive sources — do not double-enter the same expense in Xero_Raw. All figures link live via SUMIFS.</t>
  </si>
  <si>
    <t xml:space="preserve">XERO BILLS (Operating Expenses, AED) — by Account</t>
  </si>
  <si>
    <t xml:space="preserve">Expense Account</t>
  </si>
  <si>
    <t xml:space="preserve">Total Xero Bills</t>
  </si>
  <si>
    <t xml:space="preserve">META AD SPEND (Gross AED, discount added back) — by Customer</t>
  </si>
  <si>
    <t xml:space="preserve">Total Meta Ad Spend</t>
  </si>
  <si>
    <t xml:space="preserve">CREDIT CARD SPEND (AED) — by Category</t>
  </si>
  <si>
    <t xml:space="preserve">Total Credit Card Spend</t>
  </si>
  <si>
    <t xml:space="preserve">VENDOR INVOICE UPLOADS (AED) — by Category</t>
  </si>
  <si>
    <t xml:space="preserve">Total Vendor Invoice Uploads</t>
  </si>
  <si>
    <t xml:space="preserve">TOTAL OPERATING EXPENSES (Xero + Meta + Credit Card + Vendor Uploads)</t>
  </si>
  <si>
    <t xml:space="preserve">ACCOUNTS RECEIVABLE — AGING BY CUSTOMER &amp; COUNTRY (Xero Invoices + Customer Invoice Uploads)</t>
  </si>
  <si>
    <t xml:space="preserve">Outstanding = unpaid invoices from Xero_Raw AND Customer_Invoices_Upload (additive — do not double-enter the same invoice in both). Country from Assumptions map.</t>
  </si>
  <si>
    <t xml:space="preserve">OUTSTANDING INVOICE DETAIL — XERO_RAW</t>
  </si>
  <si>
    <t xml:space="preserve">OUTSTANDING INVOICE DETAIL — CUSTOMER_INVOICES_UPLOAD</t>
  </si>
  <si>
    <t xml:space="preserve">RECEIVABLES SUMMARY BY COUNTRY</t>
  </si>
  <si>
    <t xml:space="preserve">Other</t>
  </si>
  <si>
    <t xml:space="preserve">Total AR Outstanding</t>
  </si>
  <si>
    <t xml:space="preserve">RECEIVABLES SUMMARY BY CUSTOMER</t>
  </si>
  <si>
    <t xml:space="preserve">Total Outstanding (AED)</t>
  </si>
  <si>
    <t xml:space="preserve">STRIPE INVOICES (RECEIVABLES) — separate from Stripe_Raw charges</t>
  </si>
  <si>
    <t xml:space="preserve">Stripe_Raw captures completed CHARGES/payments. This tab captures Stripe’s INVOICING feature (Billing &gt; Invoices), which has its own status lifecycle: Draft (not sent), Open (sent, awaiting payment), Paid, Void (cancelled), Uncollectible (written off). Export from Stripe Dashboard &gt; Invoices, or ask Claude to extract from an uploaded export. Feeds the Customer_Receivables_Report tab.</t>
  </si>
  <si>
    <t xml:space="preserve">in_8002</t>
  </si>
  <si>
    <t xml:space="preserve">in_8003</t>
  </si>
  <si>
    <t xml:space="preserve">in_8004</t>
  </si>
  <si>
    <t xml:space="preserve">in_8005</t>
  </si>
  <si>
    <t xml:space="preserve">Open</t>
  </si>
  <si>
    <t xml:space="preserve">in_8006</t>
  </si>
  <si>
    <t xml:space="preserve">in_8007</t>
  </si>
  <si>
    <t xml:space="preserve">in_8008</t>
  </si>
  <si>
    <t xml:space="preserve">in_8009</t>
  </si>
  <si>
    <t xml:space="preserve">in_8010</t>
  </si>
  <si>
    <t xml:space="preserve">Uncollectible</t>
  </si>
  <si>
    <t xml:space="preserve">in_8011</t>
  </si>
  <si>
    <t xml:space="preserve">in_8012</t>
  </si>
  <si>
    <t xml:space="preserve">in_8013</t>
  </si>
  <si>
    <t xml:space="preserve">in_8014</t>
  </si>
  <si>
    <t xml:space="preserve">in_8015</t>
  </si>
  <si>
    <t xml:space="preserve">in_8016</t>
  </si>
  <si>
    <t xml:space="preserve">in_8017</t>
  </si>
  <si>
    <t xml:space="preserve">in_8018</t>
  </si>
  <si>
    <t xml:space="preserve">in_8019</t>
  </si>
  <si>
    <t xml:space="preserve">GENERAL EXPENSES — UPLOAD ZONE (misc / cash / journal entries)</t>
  </si>
  <si>
    <t xml:space="preserve">For expenses that are not a vendor invoice and not a credit card transaction — e.g. petty cash, bank fees, manual journal entries. Upload a receipt or statement in chat and ask Claude to extract it here, or paste manually. Feeds Expense_Summary and Trial_Balance.</t>
  </si>
  <si>
    <t xml:space="preserve">Paid Via</t>
  </si>
  <si>
    <t xml:space="preserve">Receipt_20260404_0.pdf</t>
  </si>
  <si>
    <t xml:space="preserve">WhatsApp API overage - manual top-up</t>
  </si>
  <si>
    <t xml:space="preserve">Petty Cash</t>
  </si>
  <si>
    <t xml:space="preserve">Receipt_20260407_1.pdf</t>
  </si>
  <si>
    <t xml:space="preserve">Bank transfer fee</t>
  </si>
  <si>
    <t xml:space="preserve">Cash</t>
  </si>
  <si>
    <t xml:space="preserve">Receipt_20260416_2.pdf</t>
  </si>
  <si>
    <t xml:space="preserve">Petty cash - office snacks</t>
  </si>
  <si>
    <t xml:space="preserve">Receipt_20260509_0.pdf</t>
  </si>
  <si>
    <t xml:space="preserve">Annual software subscription - manual invoice</t>
  </si>
  <si>
    <t xml:space="preserve">Receipt_20260521_1.pdf</t>
  </si>
  <si>
    <t xml:space="preserve">Freelance dev - cash payment</t>
  </si>
  <si>
    <t xml:space="preserve">Receipt_20260505_2.pdf</t>
  </si>
  <si>
    <t xml:space="preserve">Receipt_20260627_0.pdf</t>
  </si>
  <si>
    <t xml:space="preserve">Bank Transfer</t>
  </si>
  <si>
    <t xml:space="preserve">Receipt_20260625_1.pdf</t>
  </si>
  <si>
    <t xml:space="preserve">Receipt_20260608_2.pdf</t>
  </si>
  <si>
    <t xml:space="preserve">GENERAL REVENUE — UPLOAD ZONE (any other services, one-off income)</t>
  </si>
  <si>
    <t xml:space="preserve">For revenue not captured by Stripe or Xero or the Customer Invoice uploads — e.g. one-off consulting income, training workshops, referral fees, or any other service line. Upload a receipt/remittance in chat and ask Claude to extract it here, or paste manually. Category defaults to "Other Services" unless it matches an existing keyword (WhatsApp / Subscription / Development) in Assumptions — add new keywords there to reclassify.</t>
  </si>
  <si>
    <t xml:space="preserve">Remittance_20260406_0.pdf</t>
  </si>
  <si>
    <t xml:space="preserve">API Integration Support - One-off - Apr-2026</t>
  </si>
  <si>
    <t xml:space="preserve">Remittance_20260419_1.pdf</t>
  </si>
  <si>
    <t xml:space="preserve">Training Workshop - WhatsApp Onboarding - Apr-2026</t>
  </si>
  <si>
    <t xml:space="preserve">Remittance_20260426_2.pdf</t>
  </si>
  <si>
    <t xml:space="preserve">Referral Fee - Partner Program - Apr-2026</t>
  </si>
  <si>
    <t xml:space="preserve">Remittance_20260518_0.pdf</t>
  </si>
  <si>
    <t xml:space="preserve">Referral Fee - Partner Program - May-2026</t>
  </si>
  <si>
    <t xml:space="preserve">Remittance_20260517_1.pdf</t>
  </si>
  <si>
    <t xml:space="preserve">Remittance_20260523_2.pdf</t>
  </si>
  <si>
    <t xml:space="preserve">Consulting - Strategy Session - May-2026</t>
  </si>
  <si>
    <t xml:space="preserve">Remittance_20260612_0.pdf</t>
  </si>
  <si>
    <t xml:space="preserve">Referral Fee - Partner Program - Jun-2026</t>
  </si>
  <si>
    <t xml:space="preserve">Remittance_20260610_1.pdf</t>
  </si>
  <si>
    <t xml:space="preserve">Remittance_20260622_2.pdf</t>
  </si>
  <si>
    <t xml:space="preserve">Training Workshop - WhatsApp Onboarding - Jun-2026</t>
  </si>
  <si>
    <t xml:space="preserve">CUSTOMER RECEIVABLES REPORT — XERO &amp; STRIPE, BY INVOICE STATUS</t>
  </si>
  <si>
    <t xml:space="preserve">Shows every customer’s invoices split by status. Xero statuses: Paid / Awaiting Payment / Overdue / Draft / Void / Unsent. Stripe statuses: Paid / Open / Draft / Void / Uncollectible. All figures link live via SUMIFS/COUNTIFS.</t>
  </si>
  <si>
    <t xml:space="preserve">1. XERO CUSTOMER RECEIVABLES (AED) — by Status</t>
  </si>
  <si>
    <t xml:space="preserve">Total (excl. Void/Draft)</t>
  </si>
  <si>
    <t xml:space="preserve">2. STRIPE CUSTOMER RECEIVABLES (AED) — by Status</t>
  </si>
  <si>
    <t xml:space="preserve">3. COMBINED INVOICE COUNT BY STATUS (# of invoices, both sources)</t>
  </si>
  <si>
    <t xml:space="preserve">Xero: Paid</t>
  </si>
  <si>
    <t xml:space="preserve">Xero: Awaiting/Overdue</t>
  </si>
  <si>
    <t xml:space="preserve">Xero: Draft/Void/Unsent</t>
  </si>
  <si>
    <t xml:space="preserve">Stripe: Paid</t>
  </si>
  <si>
    <t xml:space="preserve">Stripe: Open</t>
  </si>
  <si>
    <t xml:space="preserve">Stripe: Draft/Void/Uncollectible</t>
  </si>
  <si>
    <t xml:space="preserve">TRIAL BALANCE — Apr-2026 to Jun-2026 (AED)</t>
  </si>
  <si>
    <t xml:space="preserve">Built by linking every sub-ledger (Bank, Receivables, Payables, Revenue, Expenses) rather than re-deriving figures — each line is traceable to its source tab. "Opening Equity" is a balancing plug (highlighted yellow) since this sample data has no real opening trial balance — replace it with your actual brought-forward equity once available.</t>
  </si>
  <si>
    <t xml:space="preserve">Source</t>
  </si>
  <si>
    <t xml:space="preserve">Debit (AED)</t>
  </si>
  <si>
    <t xml:space="preserve">Credit (AED)</t>
  </si>
  <si>
    <t xml:space="preserve">ASSETS</t>
  </si>
  <si>
    <t xml:space="preserve">Cash and Bank</t>
  </si>
  <si>
    <t xml:space="preserve">Bank_Raw (latest balance)</t>
  </si>
  <si>
    <t xml:space="preserve">Accounts Receivable</t>
  </si>
  <si>
    <t xml:space="preserve">Receivables!F71 (Total AR Outstanding)</t>
  </si>
  <si>
    <t xml:space="preserve">Total Assets</t>
  </si>
  <si>
    <t xml:space="preserve">LIABILITIES</t>
  </si>
  <si>
    <t xml:space="preserve">Accounts Payable</t>
  </si>
  <si>
    <t xml:space="preserve">Payables!F76 (Total AP Outstanding)</t>
  </si>
  <si>
    <t xml:space="preserve">Total Liabilities</t>
  </si>
  <si>
    <t xml:space="preserve">REVENUE</t>
  </si>
  <si>
    <t xml:space="preserve">Revenue - WhatsApp</t>
  </si>
  <si>
    <t xml:space="preserve">Revenue_Summary!B30</t>
  </si>
  <si>
    <t xml:space="preserve">Revenue - Subscription</t>
  </si>
  <si>
    <t xml:space="preserve">Revenue_Summary!B31</t>
  </si>
  <si>
    <t xml:space="preserve">Revenue - Development</t>
  </si>
  <si>
    <t xml:space="preserve">Revenue_Summary!B32</t>
  </si>
  <si>
    <t xml:space="preserve">Revenue - Other Services</t>
  </si>
  <si>
    <t xml:space="preserve">Revenue_Summary!B33</t>
  </si>
  <si>
    <t xml:space="preserve">Revenue - Other (misc uploads)</t>
  </si>
  <si>
    <t xml:space="preserve">SUM(Revenue_Upload!E4:E12)</t>
  </si>
  <si>
    <t xml:space="preserve">Total Revenue</t>
  </si>
  <si>
    <t xml:space="preserve">EXPENSES</t>
  </si>
  <si>
    <t xml:space="preserve">Expense_Summary!E6</t>
  </si>
  <si>
    <t xml:space="preserve">Expense_Summary!E7</t>
  </si>
  <si>
    <t xml:space="preserve">Expense_Summary!E8</t>
  </si>
  <si>
    <t xml:space="preserve">Expense_Summary!E9</t>
  </si>
  <si>
    <t xml:space="preserve">Expense_Summary!E10</t>
  </si>
  <si>
    <t xml:space="preserve">Expense_Summary!E11</t>
  </si>
  <si>
    <t xml:space="preserve">Meta Ad Spend (Direct Expense)</t>
  </si>
  <si>
    <t xml:space="preserve">Expense_Summary!E22</t>
  </si>
  <si>
    <t xml:space="preserve">Credit Card Spend</t>
  </si>
  <si>
    <t xml:space="preserve">Expense_Summary!E30</t>
  </si>
  <si>
    <t xml:space="preserve">Vendor Invoice Uploads</t>
  </si>
  <si>
    <t xml:space="preserve">Expense_Summary!E38</t>
  </si>
  <si>
    <t xml:space="preserve">Other Expenses (misc uploads)</t>
  </si>
  <si>
    <t xml:space="preserve">SUM(Expenses_Upload!E4:E12)</t>
  </si>
  <si>
    <t xml:space="preserve">Total Expenses</t>
  </si>
  <si>
    <t xml:space="preserve">EQUITY</t>
  </si>
  <si>
    <t xml:space="preserve">Net Profit for the Period (memo only — already reflected in Revenue/Expense lines above, not double-counted below)</t>
  </si>
  <si>
    <t xml:space="preserve">Opening Equity (balancing plug = Assets − Liabilities − Revenue + Expenses)</t>
  </si>
  <si>
    <t xml:space="preserve">Derived to make TB balance — REPLACE with actual</t>
  </si>
  <si>
    <t xml:space="preserve">Total Equity</t>
  </si>
  <si>
    <t xml:space="preserve">TOTAL (Debit = Credit check)</t>
  </si>
  <si>
    <t xml:space="preserve">Balance Check</t>
  </si>
  <si>
    <t xml:space="preserve">FINANCIAL STATEMENTS — PREPARED IN ACCORDANCE WITH IFRS</t>
  </si>
  <si>
    <t xml:space="preserve">For the period 01-Apr-2026 to 30-Jun-2026 (AED). Figures link live from Trial_Balance. This is a demonstration template built from sample sub-ledgers — a real IFRS filing also needs a complete fixed asset register, lease schedule (IFRS 16), inventory (IAS 2), provisions (IAS 37), and equity roll-forward, none of which exist in this sample dataset.</t>
  </si>
  <si>
    <t xml:space="preserve">1. STATEMENT OF PROFIT OR LOSS</t>
  </si>
  <si>
    <t xml:space="preserve">Revenue</t>
  </si>
  <si>
    <t xml:space="preserve">WhatsApp messaging revenue</t>
  </si>
  <si>
    <t xml:space="preserve">Subscription revenue</t>
  </si>
  <si>
    <t xml:space="preserve">Development services revenue</t>
  </si>
  <si>
    <t xml:space="preserve">Other services revenue</t>
  </si>
  <si>
    <t xml:space="preserve">Cost of Sales</t>
  </si>
  <si>
    <t xml:space="preserve">Meta advertising / messaging platform cost</t>
  </si>
  <si>
    <t xml:space="preserve">Total Cost of Sales</t>
  </si>
  <si>
    <t xml:space="preserve">Gross Profit</t>
  </si>
  <si>
    <t xml:space="preserve">Administrative Expenses</t>
  </si>
  <si>
    <t xml:space="preserve">Staff costs</t>
  </si>
  <si>
    <t xml:space="preserve">Occupancy costs (rent)</t>
  </si>
  <si>
    <t xml:space="preserve">IT and software costs</t>
  </si>
  <si>
    <t xml:space="preserve">License and regulatory fees</t>
  </si>
  <si>
    <t xml:space="preserve">Travel costs</t>
  </si>
  <si>
    <t xml:space="preserve">Professional / consulting fees</t>
  </si>
  <si>
    <t xml:space="preserve">Other operating expenses</t>
  </si>
  <si>
    <t xml:space="preserve">Total Administrative Expenses</t>
  </si>
  <si>
    <t xml:space="preserve">Profit for the Period</t>
  </si>
  <si>
    <t xml:space="preserve">2. STATEMENT OF FINANCIAL POSITION (as at 30-Jun-2026)</t>
  </si>
  <si>
    <t xml:space="preserve">Current Assets</t>
  </si>
  <si>
    <t xml:space="preserve">Cash and cash equivalents</t>
  </si>
  <si>
    <t xml:space="preserve">Trade receivables</t>
  </si>
  <si>
    <t xml:space="preserve">Total Current Assets</t>
  </si>
  <si>
    <t xml:space="preserve">TOTAL ASSETS</t>
  </si>
  <si>
    <t xml:space="preserve">EQUITY AND LIABILITIES</t>
  </si>
  <si>
    <t xml:space="preserve">Equity</t>
  </si>
  <si>
    <t xml:space="preserve">Opening equity</t>
  </si>
  <si>
    <t xml:space="preserve">Profit for the period</t>
  </si>
  <si>
    <t xml:space="preserve">Current Liabilities</t>
  </si>
  <si>
    <t xml:space="preserve">Trade and other payables</t>
  </si>
  <si>
    <t xml:space="preserve">Total Current Liabilities</t>
  </si>
  <si>
    <t xml:space="preserve">TOTAL EQUITY AND LIABILITIES</t>
  </si>
  <si>
    <t xml:space="preserve">3. STATEMENT OF CASH FLOWS (Indirect Method)</t>
  </si>
  <si>
    <t xml:space="preserve">Cash Flows from Operating Activities</t>
  </si>
  <si>
    <t xml:space="preserve">(Increase) in trade receivables</t>
  </si>
  <si>
    <t xml:space="preserve">Increase in trade and other payables</t>
  </si>
  <si>
    <t xml:space="preserve">Net Cash from Operating Activities</t>
  </si>
  <si>
    <t xml:space="preserve">Cash Flows from Investing Activities</t>
  </si>
  <si>
    <t xml:space="preserve">None recorded in this sample dataset</t>
  </si>
  <si>
    <t xml:space="preserve">Net Cash from Investing Activities</t>
  </si>
  <si>
    <t xml:space="preserve">Cash Flows from Financing Activities</t>
  </si>
  <si>
    <t xml:space="preserve">Net Cash from Financing Activities</t>
  </si>
  <si>
    <t xml:space="preserve">Net Increase in Cash</t>
  </si>
  <si>
    <t xml:space="preserve">Cash at beginning of period (assumed)</t>
  </si>
  <si>
    <t xml:space="preserve">Cash at end of period</t>
  </si>
  <si>
    <t xml:space="preserve">FINANCIAL STATEMENTS — PREPARED IN ACCORDANCE WITH US GAAP</t>
  </si>
  <si>
    <t xml:space="preserve">For the period 04/01/2026 to 06/30/2026 (AED). Same underlying Trial_Balance as the IFRS statements, presented with US GAAP terminology, ordering, and classification. Key IFRS vs. US GAAP differences (development-cost capitalization under ASC 350-40/985 vs IAS 38, inventory costing, lease accounting nuances) are policy elections that would need to be applied by your accountant for a real filing.</t>
  </si>
  <si>
    <t xml:space="preserve">1. INCOME STATEMENT</t>
  </si>
  <si>
    <t xml:space="preserve">Net Revenue</t>
  </si>
  <si>
    <t xml:space="preserve">Total Net Revenue</t>
  </si>
  <si>
    <t xml:space="preserve">Cost of Revenue</t>
  </si>
  <si>
    <t xml:space="preserve">Platform / messaging costs (Meta)</t>
  </si>
  <si>
    <t xml:space="preserve">Total Cost of Revenue</t>
  </si>
  <si>
    <t xml:space="preserve">Operating Expenses</t>
  </si>
  <si>
    <t xml:space="preserve">Selling, general and administrative expenses</t>
  </si>
  <si>
    <t xml:space="preserve">Research and development / IT costs</t>
  </si>
  <si>
    <t xml:space="preserve">Professional fees</t>
  </si>
  <si>
    <t xml:space="preserve">License, regulatory and travel costs</t>
  </si>
  <si>
    <t xml:space="preserve">Total Operating Expenses</t>
  </si>
  <si>
    <t xml:space="preserve">Operating Income</t>
  </si>
  <si>
    <t xml:space="preserve">Net Income</t>
  </si>
  <si>
    <t xml:space="preserve">2. BALANCE SHEET (as of 06/30/2026)</t>
  </si>
  <si>
    <t xml:space="preserve">Accounts receivable, net</t>
  </si>
  <si>
    <t xml:space="preserve">LIABILITIES AND STOCKHOLDERS’ EQUITY</t>
  </si>
  <si>
    <t xml:space="preserve">Accounts payable</t>
  </si>
  <si>
    <t xml:space="preserve">Stockholders’ Equity</t>
  </si>
  <si>
    <t xml:space="preserve">Common stock / paid-in capital (opening equity)</t>
  </si>
  <si>
    <t xml:space="preserve">Retained earnings (net income for the period)</t>
  </si>
  <si>
    <t xml:space="preserve">Total Stockholders’ Equity</t>
  </si>
  <si>
    <t xml:space="preserve">Total Liabilities and Stockholders’ Equity</t>
  </si>
  <si>
    <t xml:space="preserve">Net income</t>
  </si>
  <si>
    <t xml:space="preserve">Changes in operating assets and liabilities:</t>
  </si>
  <si>
    <t xml:space="preserve">  (Increase) decrease in accounts receivable</t>
  </si>
  <si>
    <t xml:space="preserve">  Increase (decrease) in accounts payable</t>
  </si>
  <si>
    <t xml:space="preserve">Net Cash Provided by Operating Activities</t>
  </si>
  <si>
    <t xml:space="preserve">Net Cash Used in Investing Activities</t>
  </si>
  <si>
    <t xml:space="preserve">Net Cash Provided by Financing Activities</t>
  </si>
</sst>
</file>

<file path=xl/styles.xml><?xml version="1.0" encoding="utf-8"?>
<styleSheet xmlns="http://schemas.openxmlformats.org/spreadsheetml/2006/main">
  <numFmts count="10">
    <numFmt numFmtId="164" formatCode="General"/>
    <numFmt numFmtId="165" formatCode="#,##0;\(#,##0\);\-"/>
    <numFmt numFmtId="166" formatCode="dd\-mmm\-yyyy"/>
    <numFmt numFmtId="167" formatCode="#,##0.00"/>
    <numFmt numFmtId="168" formatCode="#,##0.00;\(#,##0.00\);\-"/>
    <numFmt numFmtId="169" formatCode="#,##0;\(#,##0\);\-"/>
    <numFmt numFmtId="170" formatCode="0.0%"/>
    <numFmt numFmtId="171" formatCode="0;\(0\);\-"/>
    <numFmt numFmtId="172" formatCode="#,##0.00;\(#,##0.00\);\-"/>
    <numFmt numFmtId="173" formatCode="#,##0.00;\(#,##0.00\)"/>
  </numFmts>
  <fonts count="40">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i val="true"/>
      <sz val="10"/>
      <color rgb="FF666666"/>
      <name val="Arial"/>
      <family val="0"/>
      <charset val="1"/>
    </font>
    <font>
      <b val="true"/>
      <sz val="9"/>
      <color rgb="FFFFFFFF"/>
      <name val="Arial"/>
      <family val="0"/>
      <charset val="1"/>
    </font>
    <font>
      <b val="true"/>
      <sz val="20"/>
      <color rgb="FF1F2A44"/>
      <name val="Arial"/>
      <family val="0"/>
      <charset val="1"/>
    </font>
    <font>
      <b val="true"/>
      <sz val="16"/>
      <color rgb="FF1F2A44"/>
      <name val="Arial"/>
      <family val="0"/>
      <charset val="1"/>
    </font>
    <font>
      <b val="true"/>
      <sz val="11"/>
      <color rgb="FF1F2A44"/>
      <name val="Arial"/>
      <family val="0"/>
      <charset val="1"/>
    </font>
    <font>
      <b val="true"/>
      <sz val="9"/>
      <color rgb="FF0E7C7B"/>
      <name val="Arial"/>
      <family val="0"/>
      <charset val="1"/>
    </font>
    <font>
      <sz val="9"/>
      <color rgb="FF555555"/>
      <name val="Arial"/>
      <family val="0"/>
      <charset val="1"/>
    </font>
    <font>
      <sz val="10"/>
      <color rgb="FF000000"/>
      <name val="Calibri"/>
      <family val="2"/>
    </font>
    <font>
      <b val="true"/>
      <sz val="10"/>
      <color rgb="FF000000"/>
      <name val="Calibri"/>
      <family val="2"/>
    </font>
    <font>
      <b val="true"/>
      <sz val="14"/>
      <color rgb="FFFFFFFF"/>
      <name val="Arial"/>
      <family val="0"/>
      <charset val="1"/>
    </font>
    <font>
      <sz val="10"/>
      <color rgb="FF000000"/>
      <name val="Arial"/>
      <family val="0"/>
      <charset val="1"/>
    </font>
    <font>
      <b val="true"/>
      <sz val="11"/>
      <color rgb="FF0E7C7B"/>
      <name val="Arial"/>
      <family val="0"/>
      <charset val="1"/>
    </font>
    <font>
      <sz val="9"/>
      <color rgb="FF0A5C36"/>
      <name val="Consolas"/>
      <family val="0"/>
      <charset val="1"/>
    </font>
    <font>
      <b val="true"/>
      <sz val="12"/>
      <color rgb="FF1F2A44"/>
      <name val="Arial"/>
      <family val="0"/>
      <charset val="1"/>
    </font>
    <font>
      <i val="true"/>
      <sz val="9"/>
      <color rgb="FF666666"/>
      <name val="Arial"/>
      <family val="0"/>
      <charset val="1"/>
    </font>
    <font>
      <b val="true"/>
      <sz val="10"/>
      <color rgb="FFFFFFFF"/>
      <name val="Arial"/>
      <family val="0"/>
      <charset val="1"/>
    </font>
    <font>
      <sz val="9"/>
      <color rgb="FF0000FF"/>
      <name val="Arial"/>
      <family val="0"/>
      <charset val="1"/>
    </font>
    <font>
      <sz val="9"/>
      <color rgb="FF000000"/>
      <name val="Arial"/>
      <family val="0"/>
      <charset val="1"/>
    </font>
    <font>
      <b val="true"/>
      <sz val="9"/>
      <color rgb="FF000000"/>
      <name val="Arial"/>
      <family val="0"/>
      <charset val="1"/>
    </font>
    <font>
      <b val="true"/>
      <sz val="9"/>
      <color rgb="FF0000FF"/>
      <name val="Arial"/>
      <family val="0"/>
      <charset val="1"/>
    </font>
    <font>
      <i val="true"/>
      <sz val="8"/>
      <color rgb="FF777777"/>
      <name val="Arial"/>
      <family val="0"/>
      <charset val="1"/>
    </font>
    <font>
      <sz val="9"/>
      <color rgb="FF444444"/>
      <name val="Arial"/>
      <family val="0"/>
      <charset val="1"/>
    </font>
    <font>
      <b val="true"/>
      <sz val="9"/>
      <color rgb="FF008000"/>
      <name val="Arial"/>
      <family val="0"/>
      <charset val="1"/>
    </font>
    <font>
      <b val="true"/>
      <sz val="10"/>
      <color rgb="FF000000"/>
      <name val="Arial"/>
      <family val="0"/>
      <charset val="1"/>
    </font>
    <font>
      <b val="true"/>
      <sz val="10"/>
      <color rgb="FF0000FF"/>
      <name val="Arial"/>
      <family val="0"/>
      <charset val="1"/>
    </font>
    <font>
      <b val="true"/>
      <sz val="10"/>
      <color rgb="FF0E7C7B"/>
      <name val="Arial"/>
      <family val="0"/>
      <charset val="1"/>
    </font>
    <font>
      <sz val="9"/>
      <color rgb="FF008000"/>
      <name val="Arial"/>
      <family val="0"/>
      <charset val="1"/>
    </font>
    <font>
      <b val="true"/>
      <sz val="13"/>
      <color rgb="FF1F2A44"/>
      <name val="Arial"/>
      <family val="0"/>
      <charset val="1"/>
    </font>
    <font>
      <i val="true"/>
      <sz val="8"/>
      <color rgb="FF888888"/>
      <name val="Arial"/>
      <family val="0"/>
      <charset val="1"/>
    </font>
    <font>
      <i val="true"/>
      <sz val="9"/>
      <color rgb="FF888888"/>
      <name val="Arial"/>
      <family val="0"/>
      <charset val="1"/>
    </font>
    <font>
      <b val="true"/>
      <sz val="9"/>
      <color rgb="FFF2A72E"/>
      <name val="Arial"/>
      <family val="0"/>
      <charset val="1"/>
    </font>
    <font>
      <b val="true"/>
      <sz val="14"/>
      <color rgb="FF1F2A44"/>
      <name val="Arial"/>
      <family val="0"/>
      <charset val="1"/>
    </font>
    <font>
      <b val="true"/>
      <sz val="11"/>
      <color rgb="FFFFFFFF"/>
      <name val="Arial"/>
      <family val="0"/>
      <charset val="1"/>
    </font>
    <font>
      <sz val="10"/>
      <color rgb="FF008000"/>
      <name val="Arial"/>
      <family val="0"/>
      <charset val="1"/>
    </font>
    <font>
      <b val="true"/>
      <sz val="10"/>
      <name val="Arial"/>
      <family val="0"/>
      <charset val="1"/>
    </font>
  </fonts>
  <fills count="25">
    <fill>
      <patternFill patternType="none"/>
    </fill>
    <fill>
      <patternFill patternType="gray125"/>
    </fill>
    <fill>
      <patternFill patternType="solid">
        <fgColor rgb="FF1F2A44"/>
        <bgColor rgb="FF154360"/>
      </patternFill>
    </fill>
    <fill>
      <patternFill patternType="solid">
        <fgColor rgb="FF0E7C7B"/>
        <bgColor rgb="FF0A5C36"/>
      </patternFill>
    </fill>
    <fill>
      <patternFill patternType="solid">
        <fgColor rgb="FFC0392B"/>
        <bgColor rgb="FFC0504D"/>
      </patternFill>
    </fill>
    <fill>
      <patternFill patternType="solid">
        <fgColor rgb="FFF2A72E"/>
        <bgColor rgb="FFF79646"/>
      </patternFill>
    </fill>
    <fill>
      <patternFill patternType="solid">
        <fgColor rgb="FFEDF2F7"/>
        <bgColor rgb="FFF0F5F0"/>
      </patternFill>
    </fill>
    <fill>
      <patternFill patternType="solid">
        <fgColor rgb="FF1877F2"/>
        <bgColor rgb="FF4F81BD"/>
      </patternFill>
    </fill>
    <fill>
      <patternFill patternType="solid">
        <fgColor rgb="FF27AE60"/>
        <bgColor rgb="FF2ECC71"/>
      </patternFill>
    </fill>
    <fill>
      <patternFill patternType="solid">
        <fgColor rgb="FFD35400"/>
        <bgColor rgb="FFE74C3C"/>
      </patternFill>
    </fill>
    <fill>
      <patternFill patternType="solid">
        <fgColor rgb="FFE74C3C"/>
        <bgColor rgb="FFC0504D"/>
      </patternFill>
    </fill>
    <fill>
      <patternFill patternType="solid">
        <fgColor rgb="FF922B21"/>
        <bgColor rgb="FFC0392B"/>
      </patternFill>
    </fill>
    <fill>
      <patternFill patternType="solid">
        <fgColor rgb="FF2ECC71"/>
        <bgColor rgb="FF27AE60"/>
      </patternFill>
    </fill>
    <fill>
      <patternFill patternType="solid">
        <fgColor rgb="FF154360"/>
        <bgColor rgb="FF34495E"/>
      </patternFill>
    </fill>
    <fill>
      <patternFill patternType="solid">
        <fgColor rgb="FF512E5F"/>
        <bgColor rgb="FF444444"/>
      </patternFill>
    </fill>
    <fill>
      <patternFill patternType="solid">
        <fgColor rgb="FF34495E"/>
        <bgColor rgb="FF444444"/>
      </patternFill>
    </fill>
    <fill>
      <patternFill patternType="solid">
        <fgColor rgb="FF635BFF"/>
        <bgColor rgb="FF8064A2"/>
      </patternFill>
    </fill>
    <fill>
      <patternFill patternType="solid">
        <fgColor rgb="FFF0F5F0"/>
        <bgColor rgb="FFEDF2F7"/>
      </patternFill>
    </fill>
    <fill>
      <patternFill patternType="solid">
        <fgColor rgb="FFFFF7E6"/>
        <bgColor rgb="FFFFFDE7"/>
      </patternFill>
    </fill>
    <fill>
      <patternFill patternType="solid">
        <fgColor rgb="FFFFFF00"/>
        <bgColor rgb="FFFFFF00"/>
      </patternFill>
    </fill>
    <fill>
      <patternFill patternType="solid">
        <fgColor rgb="FFF5F6F8"/>
        <bgColor rgb="FFF0F5F0"/>
      </patternFill>
    </fill>
    <fill>
      <patternFill patternType="solid">
        <fgColor rgb="FFFFFDE7"/>
        <bgColor rgb="FFFFF7E6"/>
      </patternFill>
    </fill>
    <fill>
      <patternFill patternType="solid">
        <fgColor rgb="FF5D6D7E"/>
        <bgColor rgb="FF666666"/>
      </patternFill>
    </fill>
    <fill>
      <patternFill patternType="solid">
        <fgColor rgb="FF7D3C98"/>
        <bgColor rgb="FF8E44AD"/>
      </patternFill>
    </fill>
    <fill>
      <patternFill patternType="solid">
        <fgColor rgb="FFA569BD"/>
        <bgColor rgb="FF9B59B6"/>
      </patternFill>
    </fill>
  </fills>
  <borders count="4">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thin">
        <color rgb="FFCCCCCC"/>
      </bottom>
      <diagonal/>
    </border>
    <border diagonalUp="false" diagonalDown="false">
      <left/>
      <right/>
      <top style="thin">
        <color rgb="FF999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2"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false" indent="1" shrinkToFit="false"/>
      <protection locked="true" hidden="false"/>
    </xf>
    <xf numFmtId="164" fontId="6" fillId="2" borderId="1" xfId="0" applyFont="true" applyBorder="true" applyAlignment="true" applyProtection="false">
      <alignment horizontal="left" vertical="center" textRotation="0" wrapText="false" indent="1" shrinkToFit="false"/>
      <protection locked="true" hidden="false"/>
    </xf>
    <xf numFmtId="164" fontId="6" fillId="5" borderId="1" xfId="0" applyFont="true" applyBorder="true" applyAlignment="true" applyProtection="false">
      <alignment horizontal="left" vertical="center" textRotation="0" wrapText="false" indent="1" shrinkToFit="false"/>
      <protection locked="true" hidden="false"/>
    </xf>
    <xf numFmtId="165" fontId="7" fillId="6" borderId="1" xfId="0" applyFont="true" applyBorder="true" applyAlignment="true" applyProtection="false">
      <alignment horizontal="left" vertical="center" textRotation="0" wrapText="false" indent="1" shrinkToFit="false"/>
      <protection locked="true" hidden="false"/>
    </xf>
    <xf numFmtId="164" fontId="6" fillId="7" borderId="1" xfId="0" applyFont="true" applyBorder="true" applyAlignment="true" applyProtection="false">
      <alignment horizontal="left" vertical="center" textRotation="0" wrapText="false" indent="1" shrinkToFit="false"/>
      <protection locked="true" hidden="false"/>
    </xf>
    <xf numFmtId="164" fontId="6" fillId="8" borderId="1" xfId="0" applyFont="true" applyBorder="true" applyAlignment="true" applyProtection="false">
      <alignment horizontal="left" vertical="center" textRotation="0" wrapText="false" indent="1" shrinkToFit="false"/>
      <protection locked="true" hidden="false"/>
    </xf>
    <xf numFmtId="164" fontId="6" fillId="9" borderId="1" xfId="0" applyFont="true" applyBorder="true" applyAlignment="true" applyProtection="false">
      <alignment horizontal="left" vertical="center" textRotation="0" wrapText="false" indent="1" shrinkToFit="false"/>
      <protection locked="true" hidden="false"/>
    </xf>
    <xf numFmtId="164" fontId="6" fillId="10" borderId="1" xfId="0" applyFont="true" applyBorder="true" applyAlignment="true" applyProtection="false">
      <alignment horizontal="left" vertical="center" textRotation="0" wrapText="false" indent="1" shrinkToFit="false"/>
      <protection locked="true" hidden="false"/>
    </xf>
    <xf numFmtId="164" fontId="6" fillId="11" borderId="1" xfId="0" applyFont="true" applyBorder="true" applyAlignment="true" applyProtection="false">
      <alignment horizontal="left" vertical="center" textRotation="0" wrapText="false" indent="1" shrinkToFit="false"/>
      <protection locked="true" hidden="false"/>
    </xf>
    <xf numFmtId="164" fontId="6" fillId="12" borderId="1" xfId="0" applyFont="true" applyBorder="true" applyAlignment="true" applyProtection="false">
      <alignment horizontal="left" vertical="center" textRotation="0" wrapText="false" indent="1" shrinkToFit="false"/>
      <protection locked="true" hidden="false"/>
    </xf>
    <xf numFmtId="164" fontId="6" fillId="13" borderId="1" xfId="0" applyFont="true" applyBorder="true" applyAlignment="true" applyProtection="false">
      <alignment horizontal="left" vertical="center" textRotation="0" wrapText="false" indent="1" shrinkToFit="false"/>
      <protection locked="true" hidden="false"/>
    </xf>
    <xf numFmtId="164" fontId="6" fillId="14" borderId="1" xfId="0" applyFont="true" applyBorder="true" applyAlignment="true" applyProtection="false">
      <alignment horizontal="left" vertical="center" textRotation="0" wrapText="false" indent="1" shrinkToFit="false"/>
      <protection locked="true" hidden="false"/>
    </xf>
    <xf numFmtId="164" fontId="6" fillId="15" borderId="1" xfId="0" applyFont="true" applyBorder="true" applyAlignment="true" applyProtection="false">
      <alignment horizontal="left" vertical="center" textRotation="0" wrapText="false" indent="1" shrinkToFit="false"/>
      <protection locked="true" hidden="false"/>
    </xf>
    <xf numFmtId="164" fontId="6" fillId="16" borderId="1" xfId="0" applyFont="true" applyBorder="true" applyAlignment="true" applyProtection="false">
      <alignment horizontal="left" vertical="center" textRotation="0" wrapText="false" indent="1" shrinkToFit="false"/>
      <protection locked="true" hidden="false"/>
    </xf>
    <xf numFmtId="164" fontId="8" fillId="6" borderId="1"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6" fontId="21"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7" fontId="23" fillId="18"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20" fillId="7" borderId="2" xfId="0" applyFont="true" applyBorder="true" applyAlignment="true" applyProtection="false">
      <alignment horizontal="center" vertical="center" textRotation="0" wrapText="true" indent="0" shrinkToFit="false"/>
      <protection locked="true" hidden="false"/>
    </xf>
    <xf numFmtId="168" fontId="22" fillId="0" borderId="0" xfId="0" applyFont="true" applyBorder="false" applyAlignment="true" applyProtection="false">
      <alignment horizontal="general" vertical="bottom" textRotation="0" wrapText="false" indent="0" shrinkToFit="false"/>
      <protection locked="true" hidden="false"/>
    </xf>
    <xf numFmtId="168" fontId="23"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center" textRotation="0" wrapText="true" indent="0" shrinkToFit="false"/>
      <protection locked="true" hidden="false"/>
    </xf>
    <xf numFmtId="164" fontId="24" fillId="19"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3" fillId="19"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6" fontId="29" fillId="19"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7" fontId="31" fillId="0" borderId="0" xfId="0" applyFont="true" applyBorder="false" applyAlignment="true" applyProtection="false">
      <alignment horizontal="general" vertical="bottom" textRotation="0" wrapText="false" indent="0" shrinkToFit="false"/>
      <protection locked="true" hidden="false"/>
    </xf>
    <xf numFmtId="169" fontId="22" fillId="0" borderId="0" xfId="0" applyFont="true" applyBorder="false" applyAlignment="true" applyProtection="false">
      <alignment horizontal="general" vertical="bottom" textRotation="0" wrapText="false" indent="0" shrinkToFit="false"/>
      <protection locked="true" hidden="false"/>
    </xf>
    <xf numFmtId="169" fontId="23" fillId="0" borderId="0" xfId="0" applyFont="true" applyBorder="false" applyAlignment="true" applyProtection="false">
      <alignment horizontal="general" vertical="bottom" textRotation="0" wrapText="false" indent="0" shrinkToFit="false"/>
      <protection locked="true" hidden="false"/>
    </xf>
    <xf numFmtId="164" fontId="23" fillId="20" borderId="0" xfId="0" applyFont="true" applyBorder="false" applyAlignment="true" applyProtection="false">
      <alignment horizontal="general" vertical="bottom" textRotation="0" wrapText="false" indent="0" shrinkToFit="false"/>
      <protection locked="true" hidden="false"/>
    </xf>
    <xf numFmtId="169" fontId="23" fillId="20" borderId="0" xfId="0" applyFont="true" applyBorder="false" applyAlignment="true" applyProtection="false">
      <alignment horizontal="general" vertical="bottom" textRotation="0" wrapText="false" indent="0" shrinkToFit="false"/>
      <protection locked="true" hidden="false"/>
    </xf>
    <xf numFmtId="169" fontId="31" fillId="0" borderId="0" xfId="0" applyFont="true" applyBorder="false" applyAlignment="true" applyProtection="false">
      <alignment horizontal="general" vertical="bottom" textRotation="0" wrapText="false" indent="0" shrinkToFit="false"/>
      <protection locked="true" hidden="false"/>
    </xf>
    <xf numFmtId="164" fontId="20" fillId="12" borderId="0" xfId="0" applyFont="true" applyBorder="false" applyAlignment="true" applyProtection="false">
      <alignment horizontal="center" vertical="center" textRotation="0" wrapText="true" indent="0" shrinkToFit="false"/>
      <protection locked="true" hidden="false"/>
    </xf>
    <xf numFmtId="170" fontId="22" fillId="0" borderId="0" xfId="0" applyFont="true" applyBorder="false" applyAlignment="true" applyProtection="false">
      <alignment horizontal="general" vertical="bottom" textRotation="0" wrapText="false" indent="0" shrinkToFit="false"/>
      <protection locked="true" hidden="false"/>
    </xf>
    <xf numFmtId="164" fontId="20" fillId="7" borderId="0" xfId="0" applyFont="true" applyBorder="false" applyAlignment="true" applyProtection="false">
      <alignment horizontal="center" vertical="center" textRotation="0" wrapText="tru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20" fillId="10" borderId="0" xfId="0" applyFont="true" applyBorder="false" applyAlignment="true" applyProtection="false">
      <alignment horizontal="center" vertical="center" textRotation="0" wrapText="tru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9" fontId="20" fillId="2"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6" fontId="21"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0" fillId="8" borderId="2"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65" fontId="23" fillId="0" borderId="0" xfId="0" applyFont="true" applyBorder="false" applyAlignment="false" applyProtection="false">
      <alignment horizontal="general" vertical="bottom" textRotation="0" wrapText="false" indent="0" shrinkToFit="false"/>
      <protection locked="true" hidden="false"/>
    </xf>
    <xf numFmtId="164" fontId="23" fillId="20" borderId="0" xfId="0" applyFont="true" applyBorder="false" applyAlignment="false" applyProtection="false">
      <alignment horizontal="general" vertical="bottom" textRotation="0" wrapText="false" indent="0" shrinkToFit="false"/>
      <protection locked="true" hidden="false"/>
    </xf>
    <xf numFmtId="165" fontId="23" fillId="20" borderId="0" xfId="0" applyFont="true" applyBorder="false" applyAlignment="false" applyProtection="false">
      <alignment horizontal="general" vertical="bottom" textRotation="0" wrapText="false" indent="0" shrinkToFit="false"/>
      <protection locked="true" hidden="false"/>
    </xf>
    <xf numFmtId="164" fontId="6" fillId="16" borderId="0" xfId="0" applyFont="true" applyBorder="false" applyAlignment="true" applyProtection="false">
      <alignment horizontal="center" vertical="center" textRotation="0" wrapText="true" indent="0" shrinkToFit="false"/>
      <protection locked="true" hidden="false"/>
    </xf>
    <xf numFmtId="171" fontId="31" fillId="0" borderId="0" xfId="0" applyFont="true" applyBorder="false" applyAlignment="false" applyProtection="false">
      <alignment horizontal="general" vertical="bottom" textRotation="0" wrapText="false" indent="0" shrinkToFit="false"/>
      <protection locked="true" hidden="false"/>
    </xf>
    <xf numFmtId="171" fontId="23" fillId="2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72" fontId="31" fillId="0" borderId="0" xfId="0" applyFont="true" applyBorder="false" applyAlignment="false" applyProtection="false">
      <alignment horizontal="general" vertical="bottom"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73" fontId="23" fillId="20" borderId="0" xfId="0" applyFont="true" applyBorder="false" applyAlignment="false" applyProtection="false">
      <alignment horizontal="general" vertical="bottom" textRotation="0" wrapText="false" indent="0" shrinkToFit="false"/>
      <protection locked="true" hidden="false"/>
    </xf>
    <xf numFmtId="172" fontId="34" fillId="0" borderId="0" xfId="0" applyFont="true" applyBorder="false" applyAlignment="false" applyProtection="false">
      <alignment horizontal="general" vertical="bottom" textRotation="0" wrapText="false" indent="0" shrinkToFit="false"/>
      <protection locked="true" hidden="false"/>
    </xf>
    <xf numFmtId="164" fontId="0" fillId="21" borderId="0" xfId="0" applyFont="false" applyBorder="false" applyAlignment="false" applyProtection="false">
      <alignment horizontal="general" vertical="bottom" textRotation="0" wrapText="false" indent="0" shrinkToFit="false"/>
      <protection locked="true" hidden="false"/>
    </xf>
    <xf numFmtId="172" fontId="35" fillId="21" borderId="0" xfId="0" applyFont="true" applyBorder="false" applyAlignment="false" applyProtection="false">
      <alignment horizontal="general" vertical="bottom" textRotation="0" wrapText="false" indent="0" shrinkToFit="false"/>
      <protection locked="true" hidden="false"/>
    </xf>
    <xf numFmtId="173" fontId="20" fillId="2" borderId="0" xfId="0" applyFont="true" applyBorder="false" applyAlignment="false" applyProtection="false">
      <alignment horizontal="general" vertical="bottom" textRotation="0" wrapText="false" indent="0" shrinkToFit="false"/>
      <protection locked="true" hidden="false"/>
    </xf>
    <xf numFmtId="173" fontId="0" fillId="2" borderId="0" xfId="0" applyFont="false" applyBorder="fals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1" shrinkToFit="false"/>
      <protection locked="true" hidden="false"/>
    </xf>
    <xf numFmtId="165" fontId="38" fillId="0" borderId="0" xfId="0" applyFont="true" applyBorder="false" applyAlignment="false" applyProtection="false">
      <alignment horizontal="general" vertical="bottom" textRotation="0" wrapText="false" indent="0" shrinkToFit="false"/>
      <protection locked="true" hidden="false"/>
    </xf>
    <xf numFmtId="164" fontId="28" fillId="20" borderId="3" xfId="0" applyFont="true" applyBorder="true" applyAlignment="true" applyProtection="false">
      <alignment horizontal="general" vertical="bottom" textRotation="0" wrapText="false" indent="1" shrinkToFit="false"/>
      <protection locked="true" hidden="false"/>
    </xf>
    <xf numFmtId="164" fontId="0" fillId="20" borderId="3" xfId="0" applyFont="false" applyBorder="true" applyAlignment="false" applyProtection="false">
      <alignment horizontal="general" vertical="bottom" textRotation="0" wrapText="false" indent="0" shrinkToFit="false"/>
      <protection locked="true" hidden="false"/>
    </xf>
    <xf numFmtId="165" fontId="28" fillId="20" borderId="3" xfId="0" applyFont="true" applyBorder="true" applyAlignment="false" applyProtection="false">
      <alignment horizontal="general" vertical="bottom" textRotation="0" wrapText="false" indent="0" shrinkToFit="false"/>
      <protection locked="true" hidden="false"/>
    </xf>
    <xf numFmtId="164" fontId="37" fillId="22" borderId="0" xfId="0" applyFont="true" applyBorder="tru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1" shrinkToFit="false"/>
      <protection locked="true" hidden="false"/>
    </xf>
    <xf numFmtId="165" fontId="28" fillId="0" borderId="0" xfId="0" applyFont="true" applyBorder="false" applyAlignment="false" applyProtection="false">
      <alignment horizontal="general" vertical="bottom" textRotation="0" wrapText="false" indent="0" shrinkToFit="false"/>
      <protection locked="true" hidden="false"/>
    </xf>
    <xf numFmtId="164" fontId="37" fillId="23" borderId="0" xfId="0" applyFont="true" applyBorder="true" applyAlignment="false" applyProtection="false">
      <alignment horizontal="general" vertical="bottom" textRotation="0" wrapText="false" indent="0" shrinkToFit="false"/>
      <protection locked="true" hidden="false"/>
    </xf>
    <xf numFmtId="164" fontId="37" fillId="24"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2"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392B"/>
      <rgbColor rgb="FF2ECC71"/>
      <rgbColor rgb="FF0000FF"/>
      <rgbColor rgb="FFFFFF00"/>
      <rgbColor rgb="FFFF00FF"/>
      <rgbColor rgb="FF00FFFF"/>
      <rgbColor rgb="FFE74C3C"/>
      <rgbColor rgb="FF008000"/>
      <rgbColor rgb="FF8064A2"/>
      <rgbColor rgb="FF777777"/>
      <rgbColor rgb="FF9B59B6"/>
      <rgbColor rgb="FF0E7C7B"/>
      <rgbColor rgb="FFCCCCCC"/>
      <rgbColor rgb="FF888888"/>
      <rgbColor rgb="FF95A5A6"/>
      <rgbColor rgb="FF7D3C98"/>
      <rgbColor rgb="FFFFFDE7"/>
      <rgbColor rgb="FFEDF2F7"/>
      <rgbColor rgb="FF555555"/>
      <rgbColor rgb="FFF79646"/>
      <rgbColor rgb="FF34495E"/>
      <rgbColor rgb="FFD9D9D9"/>
      <rgbColor rgb="FF000080"/>
      <rgbColor rgb="FFFF00FF"/>
      <rgbColor rgb="FFFFFF00"/>
      <rgbColor rgb="FF00FFFF"/>
      <rgbColor rgb="FFC0504D"/>
      <rgbColor rgb="FF666666"/>
      <rgbColor rgb="FF4F81BD"/>
      <rgbColor rgb="FF635BFF"/>
      <rgbColor rgb="FF13B5EA"/>
      <rgbColor rgb="FFF0F5F0"/>
      <rgbColor rgb="FFF5F6F8"/>
      <rgbColor rgb="FFFFF7E6"/>
      <rgbColor rgb="FFB3B3B3"/>
      <rgbColor rgb="FF7F8C8D"/>
      <rgbColor rgb="FFA569BD"/>
      <rgbColor rgb="FFFFCC99"/>
      <rgbColor rgb="FF1877F2"/>
      <rgbColor rgb="FF4BACC6"/>
      <rgbColor rgb="FF9BBB59"/>
      <rgbColor rgb="FFFFCC00"/>
      <rgbColor rgb="FFF2A72E"/>
      <rgbColor rgb="FFD35400"/>
      <rgbColor rgb="FF5D6D7E"/>
      <rgbColor rgb="FF999999"/>
      <rgbColor rgb="FF154360"/>
      <rgbColor rgb="FF27AE60"/>
      <rgbColor rgb="FF0A5C36"/>
      <rgbColor rgb="FF444444"/>
      <rgbColor rgb="FF922B21"/>
      <rgbColor rgb="FF8E44AD"/>
      <rgbColor rgb="FF512E5F"/>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tx>
            <c:strRef>
              <c:f>Revenue_Summary!B29</c:f>
              <c:strCache>
                <c:ptCount val="1"/>
                <c:pt idx="0">
                  <c:v>Total Revenue (AED)</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Revenue_Summary!$A$30:$A$33</c:f>
              <c:strCache>
                <c:ptCount val="4"/>
                <c:pt idx="0">
                  <c:v>WhatsApp</c:v>
                </c:pt>
                <c:pt idx="1">
                  <c:v>Subscription</c:v>
                </c:pt>
                <c:pt idx="2">
                  <c:v>Development</c:v>
                </c:pt>
                <c:pt idx="3">
                  <c:v>Other Services</c:v>
                </c:pt>
              </c:strCache>
            </c:strRef>
          </c:cat>
          <c:val>
            <c:numRef>
              <c:f>Revenue_Summary!$B$30:$B$33</c:f>
              <c:numCache>
                <c:formatCode>#,##0;\(#,##0\);\-</c:formatCode>
                <c:ptCount val="4"/>
                <c:pt idx="0">
                  <c:v>371810.55</c:v>
                </c:pt>
                <c:pt idx="1">
                  <c:v>327566.27</c:v>
                </c:pt>
                <c:pt idx="2">
                  <c:v>361593.45</c:v>
                </c:pt>
                <c:pt idx="3">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"Stripe Collections"</c:f>
              <c:strCache>
                <c:ptCount val="1"/>
                <c:pt idx="0">
                  <c:v>Stripe Collections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Revenue_Summary!$B$10</c:f>
              <c:numCache>
                <c:formatCode>#,##0;\(#,##0\);\-</c:formatCode>
                <c:ptCount val="1"/>
                <c:pt idx="0">
                  <c:v>92458.82</c:v>
                </c:pt>
              </c:numCache>
            </c:numRef>
          </c:val>
        </c:ser>
        <c:ser>
          <c:idx val="1"/>
          <c:order val="1"/>
          <c:tx>
            <c:strRef>
              <c:f>"Xero Invoiced Sales"</c:f>
              <c:strCache>
                <c:ptCount val="1"/>
                <c:pt idx="0">
                  <c:v>Xero Invoiced Sales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Revenue_Summary!$C$10</c:f>
              <c:numCache>
                <c:formatCode>#,##0;\(#,##0\);\-</c:formatCode>
                <c:ptCount val="1"/>
                <c:pt idx="0">
                  <c:v>122750.12</c:v>
                </c:pt>
              </c:numCache>
            </c:numRef>
          </c:val>
        </c:ser>
        <c:ser>
          <c:idx val="2"/>
          <c:order val="2"/>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Revenue_Summary!$D$10</c:f>
              <c:numCache>
                <c:formatCode>#,##0;\(#,##0\);\-</c:formatCode>
                <c:ptCount val="1"/>
                <c:pt idx="0">
                  <c:v>126205.15</c:v>
                </c:pt>
              </c:numCache>
            </c:numRef>
          </c:val>
        </c:ser>
        <c:ser>
          <c:idx val="3"/>
          <c:order val="3"/>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Revenue_Summary!$B$18</c:f>
              <c:numCache>
                <c:formatCode>#,##0;\(#,##0\);\-</c:formatCode>
                <c:ptCount val="1"/>
                <c:pt idx="0">
                  <c:v>164693.59</c:v>
                </c:pt>
              </c:numCache>
            </c:numRef>
          </c:val>
        </c:ser>
        <c:ser>
          <c:idx val="4"/>
          <c:order val="4"/>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Revenue_Summary!$C$18</c:f>
              <c:numCache>
                <c:formatCode>#,##0;\(#,##0\);\-</c:formatCode>
                <c:ptCount val="1"/>
                <c:pt idx="0">
                  <c:v>160753.95</c:v>
                </c:pt>
              </c:numCache>
            </c:numRef>
          </c:val>
        </c:ser>
        <c:ser>
          <c:idx val="5"/>
          <c:order val="5"/>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Revenue_Summary!$D$18</c:f>
              <c:numCache>
                <c:formatCode>#,##0;\(#,##0\);\-</c:formatCode>
                <c:ptCount val="1"/>
                <c:pt idx="0">
                  <c:v>221599.51</c:v>
                </c:pt>
              </c:numCache>
            </c:numRef>
          </c:val>
        </c:ser>
        <c:gapWidth val="150"/>
        <c:overlap val="0"/>
        <c:axId val="45100465"/>
        <c:axId val="67839781"/>
      </c:barChart>
      <c:catAx>
        <c:axId val="45100465"/>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7839781"/>
        <c:crosses val="autoZero"/>
        <c:auto val="1"/>
        <c:lblAlgn val="ctr"/>
        <c:lblOffset val="100"/>
        <c:noMultiLvlLbl val="0"/>
      </c:catAx>
      <c:valAx>
        <c:axId val="67839781"/>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AED</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510046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Expense_Summary!E5</c:f>
              <c:strCache>
                <c:ptCount val="1"/>
                <c:pt idx="0">
                  <c:v>Total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Expense_Summary!$A$6:$A$11</c:f>
              <c:strCache>
                <c:ptCount val="6"/>
                <c:pt idx="0">
                  <c:v>Salary - General &amp; Administration</c:v>
                </c:pt>
                <c:pt idx="1">
                  <c:v>Office Rent</c:v>
                </c:pt>
                <c:pt idx="2">
                  <c:v>SaaS &amp; Software Subscriptions</c:v>
                </c:pt>
                <c:pt idx="3">
                  <c:v>Trade License Fee</c:v>
                </c:pt>
                <c:pt idx="4">
                  <c:v>Travel Expense</c:v>
                </c:pt>
                <c:pt idx="5">
                  <c:v>Consulting Fees - Development</c:v>
                </c:pt>
              </c:strCache>
            </c:strRef>
          </c:cat>
          <c:val>
            <c:numRef>
              <c:f>Expense_Summary!$E$6:$E$11</c:f>
              <c:numCache>
                <c:formatCode>#,##0;\(#,##0\);\-</c:formatCode>
                <c:ptCount val="6"/>
                <c:pt idx="0">
                  <c:v>36336.51</c:v>
                </c:pt>
                <c:pt idx="1">
                  <c:v>74530.61</c:v>
                </c:pt>
                <c:pt idx="2">
                  <c:v>586.87</c:v>
                </c:pt>
                <c:pt idx="3">
                  <c:v>36483.9</c:v>
                </c:pt>
                <c:pt idx="4">
                  <c:v>56032.59</c:v>
                </c:pt>
                <c:pt idx="5">
                  <c:v>7849.93</c:v>
                </c:pt>
              </c:numCache>
            </c:numRef>
          </c:val>
        </c:ser>
        <c:gapWidth val="150"/>
        <c:overlap val="0"/>
        <c:axId val="49270150"/>
        <c:axId val="12608356"/>
      </c:barChart>
      <c:catAx>
        <c:axId val="4927015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2608356"/>
        <c:crosses val="autoZero"/>
        <c:auto val="1"/>
        <c:lblAlgn val="ctr"/>
        <c:lblOffset val="100"/>
        <c:noMultiLvlLbl val="0"/>
      </c:catAx>
      <c:valAx>
        <c:axId val="12608356"/>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927015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tx>
            <c:strRef>
              <c:f>Receivables!F67</c:f>
              <c:strCache>
                <c:ptCount val="1"/>
                <c:pt idx="0">
                  <c:v>Total Outstanding</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Receivables!$A$68:$A$70</c:f>
              <c:strCache>
                <c:ptCount val="3"/>
                <c:pt idx="0">
                  <c:v>UAE</c:v>
                </c:pt>
                <c:pt idx="1">
                  <c:v>Singapore</c:v>
                </c:pt>
                <c:pt idx="2">
                  <c:v>Other</c:v>
                </c:pt>
              </c:strCache>
            </c:strRef>
          </c:cat>
          <c:val>
            <c:numRef>
              <c:f>Receivables!$F$68:$F$70</c:f>
              <c:numCache>
                <c:formatCode>#,##0;\(#,##0\);\-</c:formatCode>
                <c:ptCount val="3"/>
                <c:pt idx="0">
                  <c:v>129991.27</c:v>
                </c:pt>
                <c:pt idx="1">
                  <c:v>133105.21</c:v>
                </c:pt>
                <c:pt idx="2">
                  <c:v>203141.28</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Expense_Summary!E15</c:f>
              <c:strCache>
                <c:ptCount val="1"/>
                <c:pt idx="0">
                  <c:v>Total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Expense_Summary!$A$16:$A$21</c:f>
              <c:strCache>
                <c:ptCount val="6"/>
                <c:pt idx="0">
                  <c:v>Al Fardan Exchange - Sole Proprietorship L.L.C</c:v>
                </c:pt>
                <c:pt idx="1">
                  <c:v>United Homeware Company (Nice)</c:v>
                </c:pt>
                <c:pt idx="2">
                  <c:v>Growth X Ventures LLC</c:v>
                </c:pt>
                <c:pt idx="3">
                  <c:v>I Farmer Pte Ltd</c:v>
                </c:pt>
                <c:pt idx="4">
                  <c:v>Misfit Technologies Pte Ltd</c:v>
                </c:pt>
                <c:pt idx="5">
                  <c:v>Nishat Linen UAE</c:v>
                </c:pt>
              </c:strCache>
            </c:strRef>
          </c:cat>
          <c:val>
            <c:numRef>
              <c:f>Expense_Summary!$E$16:$E$21</c:f>
              <c:numCache>
                <c:formatCode>#,##0;\(#,##0\);\-</c:formatCode>
                <c:ptCount val="6"/>
                <c:pt idx="0">
                  <c:v>11803.04</c:v>
                </c:pt>
                <c:pt idx="1">
                  <c:v>15862.47</c:v>
                </c:pt>
                <c:pt idx="2">
                  <c:v>8523.54</c:v>
                </c:pt>
                <c:pt idx="3">
                  <c:v>7141.51</c:v>
                </c:pt>
                <c:pt idx="4">
                  <c:v>12207.42</c:v>
                </c:pt>
                <c:pt idx="5">
                  <c:v>9909.82</c:v>
                </c:pt>
              </c:numCache>
            </c:numRef>
          </c:val>
        </c:ser>
        <c:gapWidth val="150"/>
        <c:overlap val="0"/>
        <c:axId val="27322510"/>
        <c:axId val="11446085"/>
      </c:barChart>
      <c:catAx>
        <c:axId val="2732251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1446085"/>
        <c:crosses val="autoZero"/>
        <c:auto val="1"/>
        <c:lblAlgn val="ctr"/>
        <c:lblOffset val="100"/>
        <c:noMultiLvlLbl val="0"/>
      </c:catAx>
      <c:valAx>
        <c:axId val="11446085"/>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732251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Payables!F64</c:f>
              <c:strCache>
                <c:ptCount val="1"/>
                <c:pt idx="0">
                  <c:v>Total Outstanding</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Payables!$A$65:$A$75</c:f>
              <c:strCache>
                <c:ptCount val="11"/>
                <c:pt idx="0">
                  <c:v>WPP Cloud Hosting LLC</c:v>
                </c:pt>
                <c:pt idx="1">
                  <c:v>Freelance Dev Studio FZE</c:v>
                </c:pt>
                <c:pt idx="2">
                  <c:v>Twilio Inc (WhatsApp API)</c:v>
                </c:pt>
                <c:pt idx="3">
                  <c:v>Al Manara Office Supplies</c:v>
                </c:pt>
                <c:pt idx="4">
                  <c:v>Emirates Trade License Authority</c:v>
                </c:pt>
                <c:pt idx="5">
                  <c:v>Salary - General &amp; Administration</c:v>
                </c:pt>
                <c:pt idx="6">
                  <c:v>Office Rent</c:v>
                </c:pt>
                <c:pt idx="7">
                  <c:v>SaaS &amp; Software Subscriptions</c:v>
                </c:pt>
                <c:pt idx="8">
                  <c:v>Trade License Fee</c:v>
                </c:pt>
                <c:pt idx="9">
                  <c:v>Travel Expense</c:v>
                </c:pt>
                <c:pt idx="10">
                  <c:v>Consulting Fees - Development</c:v>
                </c:pt>
              </c:strCache>
            </c:strRef>
          </c:cat>
          <c:val>
            <c:numRef>
              <c:f>Payables!$F$65:$F$75</c:f>
              <c:numCache>
                <c:formatCode>#,##0;\(#,##0\);\-</c:formatCode>
                <c:ptCount val="11"/>
                <c:pt idx="0">
                  <c:v>4149.25</c:v>
                </c:pt>
                <c:pt idx="1">
                  <c:v>4441.12</c:v>
                </c:pt>
                <c:pt idx="2">
                  <c:v>0</c:v>
                </c:pt>
                <c:pt idx="3">
                  <c:v>0</c:v>
                </c:pt>
                <c:pt idx="4">
                  <c:v>3442.89</c:v>
                </c:pt>
                <c:pt idx="5">
                  <c:v>0</c:v>
                </c:pt>
                <c:pt idx="6">
                  <c:v>0</c:v>
                </c:pt>
                <c:pt idx="7">
                  <c:v>0</c:v>
                </c:pt>
                <c:pt idx="8">
                  <c:v>0</c:v>
                </c:pt>
                <c:pt idx="9">
                  <c:v>0</c:v>
                </c:pt>
                <c:pt idx="10">
                  <c:v>0</c:v>
                </c:pt>
              </c:numCache>
            </c:numRef>
          </c:val>
        </c:ser>
        <c:gapWidth val="150"/>
        <c:overlap val="0"/>
        <c:axId val="23189288"/>
        <c:axId val="34242757"/>
      </c:barChart>
      <c:catAx>
        <c:axId val="23189288"/>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4242757"/>
        <c:crosses val="autoZero"/>
        <c:auto val="1"/>
        <c:lblAlgn val="ctr"/>
        <c:lblOffset val="100"/>
        <c:noMultiLvlLbl val="0"/>
      </c:catAx>
      <c:valAx>
        <c:axId val="34242757"/>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318928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Customer_Receivables_Report!$B$5:$G$5</c:f>
              <c:strCache>
                <c:ptCount val="6"/>
                <c:pt idx="0">
                  <c:v>Paid</c:v>
                </c:pt>
                <c:pt idx="1">
                  <c:v>Awaiting Payment</c:v>
                </c:pt>
                <c:pt idx="2">
                  <c:v>Overdue</c:v>
                </c:pt>
                <c:pt idx="3">
                  <c:v>Draft</c:v>
                </c:pt>
                <c:pt idx="4">
                  <c:v>Void</c:v>
                </c:pt>
                <c:pt idx="5">
                  <c:v>Unsent</c:v>
                </c:pt>
              </c:strCache>
            </c:strRef>
          </c:cat>
          <c:val>
            <c:numRef>
              <c:f>Customer_Receivables_Report!$B$18:$G$18</c:f>
              <c:numCache>
                <c:formatCode>#,##0;\(#,##0\);\-</c:formatCode>
                <c:ptCount val="6"/>
                <c:pt idx="0">
                  <c:v>63080.75</c:v>
                </c:pt>
                <c:pt idx="1">
                  <c:v>137416.69</c:v>
                </c:pt>
                <c:pt idx="2">
                  <c:v>181856.02</c:v>
                </c:pt>
                <c:pt idx="3">
                  <c:v>54527.26</c:v>
                </c:pt>
                <c:pt idx="4">
                  <c:v>52548.26</c:v>
                </c:pt>
                <c:pt idx="5">
                  <c:v>57618.07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Customer_Receivables_Report!$B$21:$F$21</c:f>
              <c:strCache>
                <c:ptCount val="5"/>
                <c:pt idx="0">
                  <c:v>Paid</c:v>
                </c:pt>
                <c:pt idx="1">
                  <c:v>Open</c:v>
                </c:pt>
                <c:pt idx="2">
                  <c:v>Draft</c:v>
                </c:pt>
                <c:pt idx="3">
                  <c:v>Void</c:v>
                </c:pt>
                <c:pt idx="4">
                  <c:v>Uncollectible</c:v>
                </c:pt>
              </c:strCache>
            </c:strRef>
          </c:cat>
          <c:val>
            <c:numRef>
              <c:f>Customer_Receivables_Report!$B$34:$F$34</c:f>
              <c:numCache>
                <c:formatCode>#,##0;\(#,##0\);\-</c:formatCode>
                <c:ptCount val="5"/>
                <c:pt idx="0">
                  <c:v>30667.03</c:v>
                </c:pt>
                <c:pt idx="1">
                  <c:v>36737.46</c:v>
                </c:pt>
                <c:pt idx="2">
                  <c:v>6555.01</c:v>
                </c:pt>
                <c:pt idx="3">
                  <c:v>7432.23</c:v>
                </c:pt>
                <c:pt idx="4">
                  <c:v>12762.5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27</xdr:row>
      <xdr:rowOff>0</xdr:rowOff>
    </xdr:from>
    <xdr:to>
      <xdr:col>5</xdr:col>
      <xdr:colOff>888840</xdr:colOff>
      <xdr:row>42</xdr:row>
      <xdr:rowOff>22320</xdr:rowOff>
    </xdr:to>
    <xdr:graphicFrame>
      <xdr:nvGraphicFramePr>
        <xdr:cNvPr id="0" name="Chart 1"/>
        <xdr:cNvGraphicFramePr/>
      </xdr:nvGraphicFramePr>
      <xdr:xfrm>
        <a:off x="141120" y="556272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27</xdr:row>
      <xdr:rowOff>0</xdr:rowOff>
    </xdr:from>
    <xdr:to>
      <xdr:col>11</xdr:col>
      <xdr:colOff>888840</xdr:colOff>
      <xdr:row>42</xdr:row>
      <xdr:rowOff>22320</xdr:rowOff>
    </xdr:to>
    <xdr:graphicFrame>
      <xdr:nvGraphicFramePr>
        <xdr:cNvPr id="1" name="Chart 2"/>
        <xdr:cNvGraphicFramePr/>
      </xdr:nvGraphicFramePr>
      <xdr:xfrm>
        <a:off x="6907680" y="5562720"/>
        <a:ext cx="53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45</xdr:row>
      <xdr:rowOff>0</xdr:rowOff>
    </xdr:from>
    <xdr:to>
      <xdr:col>5</xdr:col>
      <xdr:colOff>888840</xdr:colOff>
      <xdr:row>60</xdr:row>
      <xdr:rowOff>22320</xdr:rowOff>
    </xdr:to>
    <xdr:graphicFrame>
      <xdr:nvGraphicFramePr>
        <xdr:cNvPr id="2" name="Chart 3"/>
        <xdr:cNvGraphicFramePr/>
      </xdr:nvGraphicFramePr>
      <xdr:xfrm>
        <a:off x="141120" y="8991720"/>
        <a:ext cx="539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45</xdr:row>
      <xdr:rowOff>0</xdr:rowOff>
    </xdr:from>
    <xdr:to>
      <xdr:col>11</xdr:col>
      <xdr:colOff>888840</xdr:colOff>
      <xdr:row>60</xdr:row>
      <xdr:rowOff>22320</xdr:rowOff>
    </xdr:to>
    <xdr:graphicFrame>
      <xdr:nvGraphicFramePr>
        <xdr:cNvPr id="3" name="Chart 4"/>
        <xdr:cNvGraphicFramePr/>
      </xdr:nvGraphicFramePr>
      <xdr:xfrm>
        <a:off x="6907680" y="8991720"/>
        <a:ext cx="539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63</xdr:row>
      <xdr:rowOff>0</xdr:rowOff>
    </xdr:from>
    <xdr:to>
      <xdr:col>5</xdr:col>
      <xdr:colOff>888840</xdr:colOff>
      <xdr:row>78</xdr:row>
      <xdr:rowOff>22320</xdr:rowOff>
    </xdr:to>
    <xdr:graphicFrame>
      <xdr:nvGraphicFramePr>
        <xdr:cNvPr id="4" name="Chart 5"/>
        <xdr:cNvGraphicFramePr/>
      </xdr:nvGraphicFramePr>
      <xdr:xfrm>
        <a:off x="141120" y="12420720"/>
        <a:ext cx="539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63</xdr:row>
      <xdr:rowOff>0</xdr:rowOff>
    </xdr:from>
    <xdr:to>
      <xdr:col>11</xdr:col>
      <xdr:colOff>888840</xdr:colOff>
      <xdr:row>78</xdr:row>
      <xdr:rowOff>22320</xdr:rowOff>
    </xdr:to>
    <xdr:graphicFrame>
      <xdr:nvGraphicFramePr>
        <xdr:cNvPr id="5" name="Chart 6"/>
        <xdr:cNvGraphicFramePr/>
      </xdr:nvGraphicFramePr>
      <xdr:xfrm>
        <a:off x="6907680" y="12420720"/>
        <a:ext cx="5399640" cy="28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81</xdr:row>
      <xdr:rowOff>0</xdr:rowOff>
    </xdr:from>
    <xdr:to>
      <xdr:col>5</xdr:col>
      <xdr:colOff>888840</xdr:colOff>
      <xdr:row>96</xdr:row>
      <xdr:rowOff>22320</xdr:rowOff>
    </xdr:to>
    <xdr:graphicFrame>
      <xdr:nvGraphicFramePr>
        <xdr:cNvPr id="6" name="Chart 7"/>
        <xdr:cNvGraphicFramePr/>
      </xdr:nvGraphicFramePr>
      <xdr:xfrm>
        <a:off x="141120" y="15849720"/>
        <a:ext cx="5399640" cy="287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81</xdr:row>
      <xdr:rowOff>0</xdr:rowOff>
    </xdr:from>
    <xdr:to>
      <xdr:col>11</xdr:col>
      <xdr:colOff>888840</xdr:colOff>
      <xdr:row>96</xdr:row>
      <xdr:rowOff>22320</xdr:rowOff>
    </xdr:to>
    <xdr:graphicFrame>
      <xdr:nvGraphicFramePr>
        <xdr:cNvPr id="7" name="Chart 8"/>
        <xdr:cNvGraphicFramePr/>
      </xdr:nvGraphicFramePr>
      <xdr:xfrm>
        <a:off x="6907680" y="15849720"/>
        <a:ext cx="5399640" cy="287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M1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6"/>
    <col collapsed="false" customWidth="true" hidden="false" outlineLevel="0" max="14" min="14" style="0" width="2"/>
  </cols>
  <sheetData>
    <row r="2" customFormat="false" ht="25.5" hidden="false" customHeight="true" outlineLevel="0" collapsed="false">
      <c r="B2" s="1" t="s">
        <v>0</v>
      </c>
      <c r="C2" s="1"/>
      <c r="D2" s="1"/>
      <c r="E2" s="1"/>
      <c r="F2" s="1"/>
      <c r="G2" s="1"/>
      <c r="H2" s="1"/>
      <c r="I2" s="1"/>
      <c r="J2" s="1"/>
      <c r="K2" s="1"/>
      <c r="L2" s="1"/>
      <c r="M2" s="1"/>
    </row>
    <row r="3" customFormat="false" ht="19.5" hidden="false" customHeight="true" outlineLevel="0" collapsed="false">
      <c r="B3" s="1"/>
      <c r="C3" s="1"/>
      <c r="D3" s="1"/>
      <c r="E3" s="1"/>
      <c r="F3" s="1"/>
      <c r="G3" s="1"/>
      <c r="H3" s="1"/>
      <c r="I3" s="1"/>
      <c r="J3" s="1"/>
      <c r="K3" s="1"/>
      <c r="L3" s="1"/>
      <c r="M3" s="1"/>
    </row>
    <row r="4" customFormat="false" ht="18" hidden="false" customHeight="true" outlineLevel="0" collapsed="false">
      <c r="B4" s="2" t="s">
        <v>1</v>
      </c>
      <c r="C4" s="2"/>
      <c r="D4" s="2"/>
      <c r="E4" s="2"/>
      <c r="F4" s="2"/>
      <c r="G4" s="2"/>
      <c r="H4" s="2"/>
      <c r="I4" s="2"/>
      <c r="J4" s="2"/>
      <c r="K4" s="2"/>
      <c r="L4" s="2"/>
      <c r="M4" s="2"/>
    </row>
    <row r="6" customFormat="false" ht="15.75" hidden="false" customHeight="true" outlineLevel="0" collapsed="false">
      <c r="B6" s="3" t="s">
        <v>2</v>
      </c>
      <c r="C6" s="3"/>
      <c r="D6" s="3"/>
      <c r="E6" s="4" t="s">
        <v>3</v>
      </c>
      <c r="F6" s="4"/>
      <c r="G6" s="4"/>
      <c r="H6" s="5" t="s">
        <v>4</v>
      </c>
      <c r="I6" s="5"/>
      <c r="J6" s="5"/>
      <c r="K6" s="6" t="s">
        <v>5</v>
      </c>
      <c r="L6" s="6"/>
      <c r="M6" s="6"/>
    </row>
    <row r="7" customFormat="false" ht="13.5" hidden="false" customHeight="true" outlineLevel="0" collapsed="false">
      <c r="B7" s="7" t="n">
        <f aca="false">Revenue_Summary!B34</f>
        <v>1060970.27</v>
      </c>
      <c r="C7" s="7"/>
      <c r="D7" s="7"/>
      <c r="E7" s="7" t="n">
        <f aca="false">Expense_Summary!E41</f>
        <v>381575.26</v>
      </c>
      <c r="F7" s="7"/>
      <c r="G7" s="7"/>
      <c r="H7" s="7" t="n">
        <f aca="false">Revenue_Summary!B34-Expense_Summary!E41</f>
        <v>679395.01</v>
      </c>
      <c r="I7" s="7"/>
      <c r="J7" s="7"/>
      <c r="K7" s="7" t="n">
        <f aca="false">Receivables!F71</f>
        <v>466237.76</v>
      </c>
      <c r="L7" s="7"/>
      <c r="M7" s="7"/>
    </row>
    <row r="8" customFormat="false" ht="19.5" hidden="false" customHeight="true" outlineLevel="0" collapsed="false">
      <c r="B8" s="7"/>
      <c r="C8" s="7"/>
      <c r="D8" s="7"/>
      <c r="E8" s="7"/>
      <c r="F8" s="7"/>
      <c r="G8" s="7"/>
      <c r="H8" s="7"/>
      <c r="I8" s="7"/>
      <c r="J8" s="7"/>
      <c r="K8" s="7"/>
      <c r="L8" s="7"/>
      <c r="M8" s="7"/>
    </row>
    <row r="9" customFormat="false" ht="15" hidden="false" customHeight="false" outlineLevel="0" collapsed="false">
      <c r="B9" s="7"/>
      <c r="C9" s="7"/>
      <c r="D9" s="7"/>
      <c r="E9" s="7"/>
      <c r="F9" s="7"/>
      <c r="G9" s="7"/>
      <c r="H9" s="7"/>
      <c r="I9" s="7"/>
      <c r="J9" s="7"/>
      <c r="K9" s="7"/>
      <c r="L9" s="7"/>
      <c r="M9" s="7"/>
    </row>
    <row r="11" customFormat="false" ht="15.75" hidden="false" customHeight="true" outlineLevel="0" collapsed="false">
      <c r="B11" s="8" t="s">
        <v>6</v>
      </c>
      <c r="C11" s="8"/>
      <c r="D11" s="8"/>
      <c r="E11" s="9" t="s">
        <v>7</v>
      </c>
      <c r="F11" s="9"/>
      <c r="G11" s="9"/>
      <c r="H11" s="3" t="s">
        <v>8</v>
      </c>
      <c r="I11" s="3"/>
      <c r="J11" s="3"/>
      <c r="K11" s="3" t="s">
        <v>9</v>
      </c>
      <c r="L11" s="3"/>
      <c r="M11" s="3"/>
    </row>
    <row r="12" customFormat="false" ht="13.5" hidden="false" customHeight="true" outlineLevel="0" collapsed="false">
      <c r="B12" s="7" t="n">
        <f aca="false">Expense_Summary!E22</f>
        <v>65447.8</v>
      </c>
      <c r="C12" s="7"/>
      <c r="D12" s="7"/>
      <c r="E12" s="7" t="n">
        <f aca="false">INDEX(Bank_Raw!F4:F44,COUNT(Bank_Raw!F4:F44))</f>
        <v>499639.33</v>
      </c>
      <c r="F12" s="7"/>
      <c r="G12" s="7"/>
      <c r="H12" s="7" t="n">
        <f aca="false">Receivables!F68</f>
        <v>129991.27</v>
      </c>
      <c r="I12" s="7"/>
      <c r="J12" s="7"/>
      <c r="K12" s="7" t="n">
        <f aca="false">Receivables!F69</f>
        <v>133105.21</v>
      </c>
      <c r="L12" s="7"/>
      <c r="M12" s="7"/>
    </row>
    <row r="13" customFormat="false" ht="19.5" hidden="false" customHeight="true" outlineLevel="0" collapsed="false">
      <c r="B13" s="7"/>
      <c r="C13" s="7"/>
      <c r="D13" s="7"/>
      <c r="E13" s="7"/>
      <c r="F13" s="7"/>
      <c r="G13" s="7"/>
      <c r="H13" s="7"/>
      <c r="I13" s="7"/>
      <c r="J13" s="7"/>
      <c r="K13" s="7"/>
      <c r="L13" s="7"/>
      <c r="M13" s="7"/>
    </row>
    <row r="14" customFormat="false" ht="15" hidden="false" customHeight="false" outlineLevel="0" collapsed="false">
      <c r="B14" s="7"/>
      <c r="C14" s="7"/>
      <c r="D14" s="7"/>
      <c r="E14" s="7"/>
      <c r="F14" s="7"/>
      <c r="G14" s="7"/>
      <c r="H14" s="7"/>
      <c r="I14" s="7"/>
      <c r="J14" s="7"/>
      <c r="K14" s="7"/>
      <c r="L14" s="7"/>
      <c r="M14" s="7"/>
    </row>
    <row r="16" customFormat="false" ht="15.75" hidden="false" customHeight="true" outlineLevel="0" collapsed="false">
      <c r="B16" s="10" t="s">
        <v>10</v>
      </c>
      <c r="C16" s="10"/>
      <c r="D16" s="10"/>
      <c r="E16" s="11" t="s">
        <v>11</v>
      </c>
      <c r="F16" s="11"/>
      <c r="G16" s="11"/>
      <c r="H16" s="12" t="s">
        <v>12</v>
      </c>
      <c r="I16" s="12"/>
      <c r="J16" s="12"/>
      <c r="K16" s="13" t="s">
        <v>13</v>
      </c>
      <c r="L16" s="13"/>
      <c r="M16" s="13"/>
    </row>
    <row r="17" customFormat="false" ht="13.5" hidden="false" customHeight="true" outlineLevel="0" collapsed="false">
      <c r="B17" s="7" t="n">
        <f aca="false">Expense_Summary!E30</f>
        <v>51592.82</v>
      </c>
      <c r="C17" s="7"/>
      <c r="D17" s="7"/>
      <c r="E17" s="7" t="n">
        <f aca="false">Expense_Summary!E38</f>
        <v>52714.23</v>
      </c>
      <c r="F17" s="7"/>
      <c r="G17" s="7"/>
      <c r="H17" s="7" t="n">
        <f aca="false">Payables!F76</f>
        <v>12033.26</v>
      </c>
      <c r="I17" s="7"/>
      <c r="J17" s="7"/>
      <c r="K17" s="7" t="n">
        <f aca="false">Revenue_Summary!E26</f>
        <v>172509.13</v>
      </c>
      <c r="L17" s="7"/>
      <c r="M17" s="7"/>
    </row>
    <row r="18" customFormat="false" ht="19.5" hidden="false" customHeight="true" outlineLevel="0" collapsed="false">
      <c r="B18" s="7"/>
      <c r="C18" s="7"/>
      <c r="D18" s="7"/>
      <c r="E18" s="7"/>
      <c r="F18" s="7"/>
      <c r="G18" s="7"/>
      <c r="H18" s="7"/>
      <c r="I18" s="7"/>
      <c r="J18" s="7"/>
      <c r="K18" s="7"/>
      <c r="L18" s="7"/>
      <c r="M18" s="7"/>
    </row>
    <row r="19" customFormat="false" ht="15" hidden="false" customHeight="false" outlineLevel="0" collapsed="false">
      <c r="B19" s="7"/>
      <c r="C19" s="7"/>
      <c r="D19" s="7"/>
      <c r="E19" s="7"/>
      <c r="F19" s="7"/>
      <c r="G19" s="7"/>
      <c r="H19" s="7"/>
      <c r="I19" s="7"/>
      <c r="J19" s="7"/>
      <c r="K19" s="7"/>
      <c r="L19" s="7"/>
      <c r="M19" s="7"/>
    </row>
    <row r="21" customFormat="false" ht="15.75" hidden="false" customHeight="true" outlineLevel="0" collapsed="false">
      <c r="B21" s="14" t="s">
        <v>14</v>
      </c>
      <c r="C21" s="14"/>
      <c r="D21" s="14"/>
      <c r="E21" s="15" t="s">
        <v>15</v>
      </c>
      <c r="F21" s="15"/>
      <c r="G21" s="15"/>
      <c r="H21" s="16" t="s">
        <v>16</v>
      </c>
      <c r="I21" s="16"/>
      <c r="J21" s="16"/>
      <c r="K21" s="17" t="s">
        <v>17</v>
      </c>
      <c r="L21" s="17"/>
      <c r="M21" s="17"/>
    </row>
    <row r="22" customFormat="false" ht="13.5" hidden="false" customHeight="true" outlineLevel="0" collapsed="false">
      <c r="B22" s="7" t="n">
        <f aca="false">Financial_Statements_IFRS!C27</f>
        <v>694176.73</v>
      </c>
      <c r="C22" s="7"/>
      <c r="D22" s="7"/>
      <c r="E22" s="7" t="n">
        <f aca="false">Financial_Statements_GAAP!C26</f>
        <v>694176.73</v>
      </c>
      <c r="F22" s="7"/>
      <c r="G22" s="7"/>
      <c r="H22" s="18" t="str">
        <f aca="false">Trial_Balance!C41</f>
        <v>✓ BALANCED</v>
      </c>
      <c r="I22" s="18"/>
      <c r="J22" s="18"/>
      <c r="K22" s="7" t="n">
        <f aca="false">Customer_Receivables_Report!G34</f>
        <v>67404.49</v>
      </c>
      <c r="L22" s="7"/>
      <c r="M22" s="7"/>
    </row>
    <row r="23" customFormat="false" ht="19.5" hidden="false" customHeight="true" outlineLevel="0" collapsed="false">
      <c r="B23" s="7"/>
      <c r="C23" s="7"/>
      <c r="D23" s="7"/>
      <c r="E23" s="7"/>
      <c r="F23" s="7"/>
      <c r="G23" s="7"/>
      <c r="H23" s="18"/>
      <c r="I23" s="18"/>
      <c r="J23" s="18"/>
      <c r="K23" s="7"/>
      <c r="L23" s="7"/>
      <c r="M23" s="7"/>
    </row>
    <row r="24" customFormat="false" ht="15" hidden="false" customHeight="false" outlineLevel="0" collapsed="false">
      <c r="B24" s="7"/>
      <c r="C24" s="7"/>
      <c r="D24" s="7"/>
      <c r="E24" s="7"/>
      <c r="F24" s="7"/>
      <c r="G24" s="7"/>
      <c r="H24" s="18"/>
      <c r="I24" s="18"/>
      <c r="J24" s="18"/>
      <c r="K24" s="7"/>
      <c r="L24" s="7"/>
      <c r="M24" s="7"/>
    </row>
    <row r="27" customFormat="false" ht="15" hidden="false" customHeight="false" outlineLevel="0" collapsed="false">
      <c r="B27" s="19" t="s">
        <v>18</v>
      </c>
      <c r="H27" s="19" t="s">
        <v>19</v>
      </c>
    </row>
    <row r="45" customFormat="false" ht="15" hidden="false" customHeight="false" outlineLevel="0" collapsed="false">
      <c r="B45" s="19" t="s">
        <v>20</v>
      </c>
      <c r="H45" s="19" t="s">
        <v>21</v>
      </c>
    </row>
    <row r="63" customFormat="false" ht="15" hidden="false" customHeight="false" outlineLevel="0" collapsed="false">
      <c r="B63" s="19" t="s">
        <v>22</v>
      </c>
      <c r="H63" s="19" t="s">
        <v>23</v>
      </c>
    </row>
    <row r="81" customFormat="false" ht="15" hidden="false" customHeight="false" outlineLevel="0" collapsed="false">
      <c r="B81" s="19" t="s">
        <v>24</v>
      </c>
      <c r="H81" s="19" t="s">
        <v>25</v>
      </c>
    </row>
    <row r="99" customFormat="false" ht="15" hidden="false" customHeight="false" outlineLevel="0" collapsed="false">
      <c r="B99" s="19" t="s">
        <v>26</v>
      </c>
    </row>
    <row r="100" customFormat="false" ht="15" hidden="false" customHeight="false" outlineLevel="0" collapsed="false">
      <c r="B100" s="20" t="s">
        <v>27</v>
      </c>
      <c r="D100" s="21" t="s">
        <v>28</v>
      </c>
      <c r="E100" s="21"/>
      <c r="F100" s="21"/>
      <c r="G100" s="21"/>
      <c r="H100" s="21"/>
      <c r="I100" s="21"/>
      <c r="J100" s="21"/>
      <c r="K100" s="21"/>
      <c r="L100" s="21"/>
      <c r="M100" s="21"/>
    </row>
    <row r="101" customFormat="false" ht="15" hidden="false" customHeight="false" outlineLevel="0" collapsed="false">
      <c r="B101" s="20" t="s">
        <v>29</v>
      </c>
      <c r="D101" s="21" t="s">
        <v>30</v>
      </c>
      <c r="E101" s="21"/>
      <c r="F101" s="21"/>
      <c r="G101" s="21"/>
      <c r="H101" s="21"/>
      <c r="I101" s="21"/>
      <c r="J101" s="21"/>
      <c r="K101" s="21"/>
      <c r="L101" s="21"/>
      <c r="M101" s="21"/>
    </row>
    <row r="102" customFormat="false" ht="15" hidden="false" customHeight="false" outlineLevel="0" collapsed="false">
      <c r="B102" s="20" t="s">
        <v>31</v>
      </c>
      <c r="D102" s="21" t="s">
        <v>32</v>
      </c>
      <c r="E102" s="21"/>
      <c r="F102" s="21"/>
      <c r="G102" s="21"/>
      <c r="H102" s="21"/>
      <c r="I102" s="21"/>
      <c r="J102" s="21"/>
      <c r="K102" s="21"/>
      <c r="L102" s="21"/>
      <c r="M102" s="21"/>
    </row>
    <row r="103" customFormat="false" ht="15" hidden="false" customHeight="false" outlineLevel="0" collapsed="false">
      <c r="B103" s="20" t="s">
        <v>33</v>
      </c>
      <c r="D103" s="21" t="s">
        <v>34</v>
      </c>
      <c r="E103" s="21"/>
      <c r="F103" s="21"/>
      <c r="G103" s="21"/>
      <c r="H103" s="21"/>
      <c r="I103" s="21"/>
      <c r="J103" s="21"/>
      <c r="K103" s="21"/>
      <c r="L103" s="21"/>
      <c r="M103" s="21"/>
    </row>
    <row r="104" customFormat="false" ht="15" hidden="false" customHeight="false" outlineLevel="0" collapsed="false">
      <c r="B104" s="20" t="s">
        <v>35</v>
      </c>
      <c r="D104" s="21" t="s">
        <v>36</v>
      </c>
      <c r="E104" s="21"/>
      <c r="F104" s="21"/>
      <c r="G104" s="21"/>
      <c r="H104" s="21"/>
      <c r="I104" s="21"/>
      <c r="J104" s="21"/>
      <c r="K104" s="21"/>
      <c r="L104" s="21"/>
      <c r="M104" s="21"/>
    </row>
    <row r="105" customFormat="false" ht="15" hidden="false" customHeight="false" outlineLevel="0" collapsed="false">
      <c r="B105" s="20" t="s">
        <v>37</v>
      </c>
      <c r="D105" s="21" t="s">
        <v>38</v>
      </c>
      <c r="E105" s="21"/>
      <c r="F105" s="21"/>
      <c r="G105" s="21"/>
      <c r="H105" s="21"/>
      <c r="I105" s="21"/>
      <c r="J105" s="21"/>
      <c r="K105" s="21"/>
      <c r="L105" s="21"/>
      <c r="M105" s="21"/>
    </row>
    <row r="106" customFormat="false" ht="15" hidden="false" customHeight="false" outlineLevel="0" collapsed="false">
      <c r="B106" s="20" t="s">
        <v>39</v>
      </c>
      <c r="D106" s="21" t="s">
        <v>40</v>
      </c>
      <c r="E106" s="21"/>
      <c r="F106" s="21"/>
      <c r="G106" s="21"/>
      <c r="H106" s="21"/>
      <c r="I106" s="21"/>
      <c r="J106" s="21"/>
      <c r="K106" s="21"/>
      <c r="L106" s="21"/>
      <c r="M106" s="21"/>
    </row>
    <row r="107" customFormat="false" ht="15" hidden="false" customHeight="false" outlineLevel="0" collapsed="false">
      <c r="B107" s="20" t="s">
        <v>41</v>
      </c>
      <c r="D107" s="21" t="s">
        <v>42</v>
      </c>
      <c r="E107" s="21"/>
      <c r="F107" s="21"/>
      <c r="G107" s="21"/>
      <c r="H107" s="21"/>
      <c r="I107" s="21"/>
      <c r="J107" s="21"/>
      <c r="K107" s="21"/>
      <c r="L107" s="21"/>
      <c r="M107" s="21"/>
    </row>
    <row r="108" customFormat="false" ht="15" hidden="false" customHeight="false" outlineLevel="0" collapsed="false">
      <c r="B108" s="20" t="s">
        <v>43</v>
      </c>
      <c r="D108" s="21" t="s">
        <v>44</v>
      </c>
      <c r="E108" s="21"/>
      <c r="F108" s="21"/>
      <c r="G108" s="21"/>
      <c r="H108" s="21"/>
      <c r="I108" s="21"/>
      <c r="J108" s="21"/>
      <c r="K108" s="21"/>
      <c r="L108" s="21"/>
      <c r="M108" s="21"/>
    </row>
    <row r="109" customFormat="false" ht="15" hidden="false" customHeight="false" outlineLevel="0" collapsed="false">
      <c r="B109" s="20" t="s">
        <v>45</v>
      </c>
      <c r="D109" s="21" t="s">
        <v>46</v>
      </c>
      <c r="E109" s="21"/>
      <c r="F109" s="21"/>
      <c r="G109" s="21"/>
      <c r="H109" s="21"/>
      <c r="I109" s="21"/>
      <c r="J109" s="21"/>
      <c r="K109" s="21"/>
      <c r="L109" s="21"/>
      <c r="M109" s="21"/>
    </row>
    <row r="110" customFormat="false" ht="15" hidden="false" customHeight="false" outlineLevel="0" collapsed="false">
      <c r="B110" s="20" t="s">
        <v>47</v>
      </c>
      <c r="D110" s="21" t="s">
        <v>48</v>
      </c>
      <c r="E110" s="21"/>
      <c r="F110" s="21"/>
      <c r="G110" s="21"/>
      <c r="H110" s="21"/>
      <c r="I110" s="21"/>
      <c r="J110" s="21"/>
      <c r="K110" s="21"/>
      <c r="L110" s="21"/>
      <c r="M110" s="21"/>
    </row>
    <row r="111" customFormat="false" ht="15" hidden="false" customHeight="false" outlineLevel="0" collapsed="false">
      <c r="B111" s="20" t="s">
        <v>49</v>
      </c>
      <c r="D111" s="21" t="s">
        <v>50</v>
      </c>
      <c r="E111" s="21"/>
      <c r="F111" s="21"/>
      <c r="G111" s="21"/>
      <c r="H111" s="21"/>
      <c r="I111" s="21"/>
      <c r="J111" s="21"/>
      <c r="K111" s="21"/>
      <c r="L111" s="21"/>
      <c r="M111" s="21"/>
    </row>
  </sheetData>
  <mergeCells count="46">
    <mergeCell ref="B2:M3"/>
    <mergeCell ref="B4:M4"/>
    <mergeCell ref="B6:D6"/>
    <mergeCell ref="E6:G6"/>
    <mergeCell ref="H6:J6"/>
    <mergeCell ref="K6:M6"/>
    <mergeCell ref="B7:D9"/>
    <mergeCell ref="E7:G9"/>
    <mergeCell ref="H7:J9"/>
    <mergeCell ref="K7:M9"/>
    <mergeCell ref="B11:D11"/>
    <mergeCell ref="E11:G11"/>
    <mergeCell ref="H11:J11"/>
    <mergeCell ref="K11:M11"/>
    <mergeCell ref="B12:D14"/>
    <mergeCell ref="E12:G14"/>
    <mergeCell ref="H12:J14"/>
    <mergeCell ref="K12:M14"/>
    <mergeCell ref="B16:D16"/>
    <mergeCell ref="E16:G16"/>
    <mergeCell ref="H16:J16"/>
    <mergeCell ref="K16:M16"/>
    <mergeCell ref="B17:D19"/>
    <mergeCell ref="E17:G19"/>
    <mergeCell ref="H17:J19"/>
    <mergeCell ref="K17:M19"/>
    <mergeCell ref="B21:D21"/>
    <mergeCell ref="E21:G21"/>
    <mergeCell ref="H21:J21"/>
    <mergeCell ref="K21:M21"/>
    <mergeCell ref="B22:D24"/>
    <mergeCell ref="E22:G24"/>
    <mergeCell ref="H22:J24"/>
    <mergeCell ref="K22:M24"/>
    <mergeCell ref="D100:M100"/>
    <mergeCell ref="D101:M101"/>
    <mergeCell ref="D102:M102"/>
    <mergeCell ref="D103:M103"/>
    <mergeCell ref="D104:M104"/>
    <mergeCell ref="D105:M105"/>
    <mergeCell ref="D106:M106"/>
    <mergeCell ref="D107:M107"/>
    <mergeCell ref="D108:M108"/>
    <mergeCell ref="D109:M109"/>
    <mergeCell ref="D110:M110"/>
    <mergeCell ref="D111:M1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72E"/>
    <pageSetUpPr fitToPage="false"/>
  </sheetPr>
  <dimension ref="B2:B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2" width="3"/>
    <col collapsed="false" customWidth="true" hidden="false" outlineLevel="0" max="2" min="2" style="22" width="110"/>
  </cols>
  <sheetData>
    <row r="2" customFormat="false" ht="21.75" hidden="false" customHeight="true" outlineLevel="0" collapsed="false">
      <c r="B2" s="23" t="s">
        <v>51</v>
      </c>
    </row>
    <row r="4" customFormat="false" ht="15" hidden="false" customHeight="true" outlineLevel="0" collapsed="false">
      <c r="B4" s="24" t="s">
        <v>52</v>
      </c>
    </row>
    <row r="7" customFormat="false" ht="18" hidden="false" customHeight="true" outlineLevel="0" collapsed="false">
      <c r="B7" s="25" t="s">
        <v>53</v>
      </c>
    </row>
    <row r="8" customFormat="false" ht="15" hidden="false" customHeight="true" outlineLevel="0" collapsed="false">
      <c r="B8" s="24" t="s">
        <v>54</v>
      </c>
    </row>
    <row r="11" customFormat="false" ht="18" hidden="false" customHeight="true" outlineLevel="0" collapsed="false">
      <c r="B11" s="25" t="s">
        <v>55</v>
      </c>
    </row>
    <row r="12" customFormat="false" ht="15" hidden="false" customHeight="true" outlineLevel="0" collapsed="false">
      <c r="B12" s="24" t="s">
        <v>56</v>
      </c>
    </row>
    <row r="14" customFormat="false" ht="15" hidden="false" customHeight="true" outlineLevel="0" collapsed="false">
      <c r="B14" s="26" t="s">
        <v>57</v>
      </c>
    </row>
    <row r="15" customFormat="false" ht="15" hidden="false" customHeight="true" outlineLevel="0" collapsed="false">
      <c r="B15" s="26" t="s">
        <v>58</v>
      </c>
    </row>
    <row r="16" customFormat="false" ht="15" hidden="false" customHeight="true" outlineLevel="0" collapsed="false">
      <c r="B16" s="26" t="s">
        <v>59</v>
      </c>
    </row>
    <row r="17" customFormat="false" ht="15" hidden="false" customHeight="true" outlineLevel="0" collapsed="false">
      <c r="B17" s="26" t="s">
        <v>60</v>
      </c>
    </row>
    <row r="18" customFormat="false" ht="15" hidden="false" customHeight="true" outlineLevel="0" collapsed="false">
      <c r="B18" s="26" t="s">
        <v>61</v>
      </c>
    </row>
    <row r="19" customFormat="false" ht="15" hidden="false" customHeight="true" outlineLevel="0" collapsed="false">
      <c r="B19" s="26" t="s">
        <v>62</v>
      </c>
    </row>
    <row r="20" customFormat="false" ht="15" hidden="false" customHeight="true" outlineLevel="0" collapsed="false">
      <c r="B20" s="26" t="s">
        <v>63</v>
      </c>
    </row>
    <row r="21" customFormat="false" ht="15" hidden="false" customHeight="true" outlineLevel="0" collapsed="false">
      <c r="B21" s="26" t="s">
        <v>64</v>
      </c>
    </row>
    <row r="22" customFormat="false" ht="15" hidden="false" customHeight="true" outlineLevel="0" collapsed="false">
      <c r="B22" s="26" t="s">
        <v>65</v>
      </c>
    </row>
    <row r="24" customFormat="false" ht="15" hidden="false" customHeight="true" outlineLevel="0" collapsed="false">
      <c r="B24" s="24" t="s">
        <v>66</v>
      </c>
    </row>
    <row r="27" customFormat="false" ht="18" hidden="false" customHeight="true" outlineLevel="0" collapsed="false">
      <c r="B27" s="25" t="s">
        <v>67</v>
      </c>
    </row>
    <row r="28" customFormat="false" ht="15" hidden="false" customHeight="true" outlineLevel="0" collapsed="false">
      <c r="B28" s="24" t="s">
        <v>68</v>
      </c>
    </row>
    <row r="29" customFormat="false" ht="15" hidden="false" customHeight="true" outlineLevel="0" collapsed="false">
      <c r="B29" s="24" t="s">
        <v>69</v>
      </c>
    </row>
    <row r="30" customFormat="false" ht="15" hidden="false" customHeight="true" outlineLevel="0" collapsed="false">
      <c r="B30" s="24" t="s">
        <v>70</v>
      </c>
    </row>
    <row r="32" customFormat="false" ht="15" hidden="false" customHeight="true" outlineLevel="0" collapsed="false">
      <c r="B32" s="24" t="s">
        <v>71</v>
      </c>
    </row>
    <row r="35" customFormat="false" ht="18" hidden="false" customHeight="true" outlineLevel="0" collapsed="false">
      <c r="B35" s="25" t="s">
        <v>72</v>
      </c>
    </row>
    <row r="36" customFormat="false" ht="15" hidden="false" customHeight="true" outlineLevel="0" collapsed="false">
      <c r="B36" s="24" t="s">
        <v>73</v>
      </c>
    </row>
    <row r="37" customFormat="false" ht="15" hidden="false" customHeight="true" outlineLevel="0" collapsed="false">
      <c r="B37" s="24" t="s">
        <v>74</v>
      </c>
    </row>
    <row r="38" customFormat="false" ht="15" hidden="false" customHeight="true" outlineLevel="0" collapsed="false">
      <c r="B38" s="24" t="s">
        <v>75</v>
      </c>
    </row>
    <row r="40" customFormat="false" ht="15" hidden="false" customHeight="true" outlineLevel="0" collapsed="false">
      <c r="B40" s="24" t="s">
        <v>76</v>
      </c>
    </row>
    <row r="43" customFormat="false" ht="18" hidden="false" customHeight="true" outlineLevel="0" collapsed="false">
      <c r="B43" s="25" t="s">
        <v>77</v>
      </c>
    </row>
    <row r="44" customFormat="false" ht="15" hidden="false" customHeight="true" outlineLevel="0" collapsed="false">
      <c r="B44" s="24" t="s">
        <v>78</v>
      </c>
    </row>
    <row r="47" customFormat="false" ht="18" hidden="false" customHeight="true" outlineLevel="0" collapsed="false">
      <c r="B47" s="25" t="s">
        <v>79</v>
      </c>
    </row>
    <row r="48" customFormat="false" ht="15" hidden="false" customHeight="true" outlineLevel="0" collapsed="false">
      <c r="B48" s="24" t="s">
        <v>80</v>
      </c>
    </row>
    <row r="51" customFormat="false" ht="18" hidden="false" customHeight="true" outlineLevel="0" collapsed="false">
      <c r="B51" s="25" t="s">
        <v>81</v>
      </c>
    </row>
    <row r="52" customFormat="false" ht="15" hidden="false" customHeight="true" outlineLevel="0" collapsed="false">
      <c r="B52" s="24" t="s">
        <v>82</v>
      </c>
    </row>
    <row r="54" customFormat="false" ht="18" hidden="false" customHeight="true" outlineLevel="0" collapsed="false">
      <c r="B54" s="25" t="s">
        <v>83</v>
      </c>
    </row>
    <row r="55" customFormat="false" ht="15" hidden="false" customHeight="true" outlineLevel="0" collapsed="false">
      <c r="B55" s="24" t="s">
        <v>84</v>
      </c>
    </row>
    <row r="56" customFormat="false" ht="15" hidden="false" customHeight="true" outlineLevel="0" collapsed="false">
      <c r="B56" s="24" t="s">
        <v>85</v>
      </c>
    </row>
    <row r="57" customFormat="false" ht="15" hidden="false" customHeight="true" outlineLevel="0" collapsed="false">
      <c r="B57" s="24" t="s">
        <v>86</v>
      </c>
    </row>
    <row r="58" customFormat="false" ht="15" hidden="false" customHeight="true" outlineLevel="0" collapsed="false">
      <c r="B58" s="24" t="s">
        <v>87</v>
      </c>
    </row>
    <row r="59" customFormat="false" ht="15" hidden="false" customHeight="true" outlineLevel="0" collapsed="false">
      <c r="B59" s="24" t="s">
        <v>88</v>
      </c>
    </row>
    <row r="61" customFormat="false" ht="18" hidden="false" customHeight="true" outlineLevel="0" collapsed="false">
      <c r="B61" s="25" t="s">
        <v>89</v>
      </c>
    </row>
    <row r="62" customFormat="false" ht="15" hidden="false" customHeight="true" outlineLevel="0" collapsed="false">
      <c r="B62" s="24" t="s">
        <v>90</v>
      </c>
    </row>
    <row r="64" customFormat="false" ht="15" hidden="false" customHeight="true" outlineLevel="0" collapsed="false">
      <c r="B64" s="24" t="s">
        <v>91</v>
      </c>
    </row>
    <row r="67" customFormat="false" ht="15" hidden="false" customHeight="true" outlineLevel="0" collapsed="false">
      <c r="B67" s="24" t="s">
        <v>92</v>
      </c>
    </row>
    <row r="71" customFormat="false" ht="18" hidden="false" customHeight="true" outlineLevel="0" collapsed="false">
      <c r="B71" s="25" t="s">
        <v>93</v>
      </c>
    </row>
    <row r="72" customFormat="false" ht="15" hidden="false" customHeight="true" outlineLevel="0" collapsed="false">
      <c r="B72" s="24" t="s">
        <v>94</v>
      </c>
    </row>
    <row r="74" customFormat="false" ht="15" hidden="false" customHeight="true" outlineLevel="0" collapsed="false">
      <c r="B74" s="24" t="s">
        <v>95</v>
      </c>
    </row>
    <row r="76" customFormat="false" ht="18" hidden="false" customHeight="true" outlineLevel="0" collapsed="false">
      <c r="B76" s="27" t="s">
        <v>96</v>
      </c>
    </row>
    <row r="77" customFormat="false" ht="15" hidden="false" customHeight="true" outlineLevel="0" collapsed="false">
      <c r="B77" s="24" t="s">
        <v>97</v>
      </c>
    </row>
    <row r="78" customFormat="false" ht="15" hidden="false" customHeight="true" outlineLevel="0" collapsed="false">
      <c r="B78" s="24" t="s">
        <v>98</v>
      </c>
    </row>
    <row r="79" customFormat="false" ht="15" hidden="false" customHeight="true" outlineLevel="0" collapsed="false">
      <c r="B79" s="24" t="s">
        <v>99</v>
      </c>
    </row>
    <row r="80" customFormat="false" ht="15" hidden="false" customHeight="true" outlineLevel="0" collapsed="false">
      <c r="B80" s="24" t="s">
        <v>100</v>
      </c>
    </row>
    <row r="82" customFormat="false" ht="18" hidden="false" customHeight="true" outlineLevel="0" collapsed="false">
      <c r="B82" s="27" t="s">
        <v>101</v>
      </c>
    </row>
    <row r="83" customFormat="false" ht="15" hidden="false" customHeight="true" outlineLevel="0" collapsed="false">
      <c r="B83" s="24" t="s">
        <v>102</v>
      </c>
    </row>
    <row r="84" customFormat="false" ht="15" hidden="false" customHeight="true" outlineLevel="0" collapsed="false">
      <c r="B84" s="24"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5BFF"/>
    <pageSetUpPr fitToPage="false"/>
  </sheetPr>
  <dimension ref="A1: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2" width="12"/>
    <col collapsed="false" customWidth="true" hidden="false" outlineLevel="0" max="2" min="2" style="22" width="34"/>
    <col collapsed="false" customWidth="true" hidden="false" outlineLevel="0" max="3" min="3" style="22" width="30"/>
    <col collapsed="false" customWidth="true" hidden="false" outlineLevel="0" max="4" min="4" style="22" width="26"/>
    <col collapsed="false" customWidth="true" hidden="false" outlineLevel="0" max="5" min="5" style="22" width="15"/>
    <col collapsed="false" customWidth="true" hidden="false" outlineLevel="0" max="6" min="6" style="22" width="13"/>
    <col collapsed="false" customWidth="true" hidden="false" outlineLevel="0" max="7" min="7" style="22" width="14"/>
    <col collapsed="false" customWidth="true" hidden="false" outlineLevel="0" max="9" min="8" style="22" width="10"/>
    <col collapsed="false" customWidth="true" hidden="false" outlineLevel="0" max="10" min="10" style="22" width="14"/>
  </cols>
  <sheetData>
    <row r="1" customFormat="false" ht="15" hidden="false" customHeight="true" outlineLevel="0" collapsed="false">
      <c r="A1" s="28" t="s">
        <v>104</v>
      </c>
    </row>
    <row r="2" customFormat="false" ht="15" hidden="false" customHeight="true" outlineLevel="0" collapsed="false">
      <c r="A2" s="29" t="s">
        <v>105</v>
      </c>
    </row>
    <row r="3" customFormat="false" ht="21.75" hidden="false" customHeight="true" outlineLevel="0" collapsed="false">
      <c r="A3" s="30" t="s">
        <v>106</v>
      </c>
      <c r="B3" s="30" t="s">
        <v>107</v>
      </c>
      <c r="C3" s="30" t="s">
        <v>108</v>
      </c>
      <c r="D3" s="30" t="s">
        <v>109</v>
      </c>
      <c r="E3" s="30" t="s">
        <v>110</v>
      </c>
      <c r="F3" s="30" t="s">
        <v>111</v>
      </c>
      <c r="G3" s="30" t="s">
        <v>112</v>
      </c>
      <c r="H3" s="30" t="s">
        <v>113</v>
      </c>
      <c r="I3" s="30" t="s">
        <v>114</v>
      </c>
      <c r="J3" s="30" t="s">
        <v>115</v>
      </c>
    </row>
    <row r="4" customFormat="false" ht="15" hidden="false" customHeight="true" outlineLevel="0" collapsed="false">
      <c r="A4" s="31" t="n">
        <v>46113</v>
      </c>
      <c r="B4" s="32" t="s">
        <v>116</v>
      </c>
      <c r="C4" s="32" t="s">
        <v>117</v>
      </c>
      <c r="D4" s="32" t="s">
        <v>118</v>
      </c>
      <c r="E4" s="33" t="n">
        <v>13554.67</v>
      </c>
      <c r="F4" s="33" t="n">
        <v>394.29</v>
      </c>
      <c r="G4" s="33" t="n">
        <v>13160.38</v>
      </c>
      <c r="H4" s="32" t="s">
        <v>119</v>
      </c>
      <c r="I4" s="32" t="s">
        <v>120</v>
      </c>
      <c r="J4" s="34" t="str">
        <f aca="false">IFERROR(IF(ISNUMBER(SEARCH(Assumptions!$C$5,D4)),Assumptions!$D$5,IF(ISNUMBER(SEARCH(Assumptions!$C$6,D4)),Assumptions!$D$6,IF(ISNUMBER(SEARCH(Assumptions!$C$7,D4)),Assumptions!$D$7,"Other Services"))),"Other Services")</f>
        <v>WhatsApp</v>
      </c>
    </row>
    <row r="5" customFormat="false" ht="15" hidden="false" customHeight="true" outlineLevel="0" collapsed="false">
      <c r="A5" s="31" t="n">
        <v>46116</v>
      </c>
      <c r="B5" s="32" t="s">
        <v>121</v>
      </c>
      <c r="C5" s="32" t="s">
        <v>122</v>
      </c>
      <c r="D5" s="32" t="s">
        <v>123</v>
      </c>
      <c r="E5" s="33" t="n">
        <v>12439.23</v>
      </c>
      <c r="F5" s="33" t="n">
        <v>361.94</v>
      </c>
      <c r="G5" s="33" t="n">
        <v>12077.29</v>
      </c>
      <c r="H5" s="32" t="s">
        <v>119</v>
      </c>
      <c r="I5" s="32" t="s">
        <v>120</v>
      </c>
      <c r="J5" s="34" t="str">
        <f aca="false">IFERROR(IF(ISNUMBER(SEARCH(Assumptions!$C$5,D5)),Assumptions!$D$5,IF(ISNUMBER(SEARCH(Assumptions!$C$6,D5)),Assumptions!$D$6,IF(ISNUMBER(SEARCH(Assumptions!$C$7,D5)),Assumptions!$D$7,"Other Services"))),"Other Services")</f>
        <v>Development</v>
      </c>
    </row>
    <row r="6" customFormat="false" ht="15" hidden="false" customHeight="true" outlineLevel="0" collapsed="false">
      <c r="A6" s="31" t="n">
        <v>46126</v>
      </c>
      <c r="B6" s="32" t="s">
        <v>124</v>
      </c>
      <c r="C6" s="32" t="s">
        <v>125</v>
      </c>
      <c r="D6" s="32" t="s">
        <v>126</v>
      </c>
      <c r="E6" s="33" t="n">
        <v>1346.66</v>
      </c>
      <c r="F6" s="33" t="n">
        <v>40.25</v>
      </c>
      <c r="G6" s="33" t="n">
        <v>1306.41</v>
      </c>
      <c r="H6" s="32" t="s">
        <v>119</v>
      </c>
      <c r="I6" s="32" t="s">
        <v>120</v>
      </c>
      <c r="J6" s="34" t="str">
        <f aca="false">IFERROR(IF(ISNUMBER(SEARCH(Assumptions!$C$5,D6)),Assumptions!$D$5,IF(ISNUMBER(SEARCH(Assumptions!$C$6,D6)),Assumptions!$D$6,IF(ISNUMBER(SEARCH(Assumptions!$C$7,D6)),Assumptions!$D$7,"Other Services"))),"Other Services")</f>
        <v>Development</v>
      </c>
    </row>
    <row r="7" customFormat="false" ht="15" hidden="false" customHeight="true" outlineLevel="0" collapsed="false">
      <c r="A7" s="31" t="n">
        <v>46132</v>
      </c>
      <c r="B7" s="32" t="s">
        <v>127</v>
      </c>
      <c r="C7" s="32" t="s">
        <v>128</v>
      </c>
      <c r="D7" s="32" t="s">
        <v>126</v>
      </c>
      <c r="E7" s="33" t="n">
        <v>1256.42</v>
      </c>
      <c r="F7" s="33" t="n">
        <v>37.64</v>
      </c>
      <c r="G7" s="33" t="n">
        <v>1218.78</v>
      </c>
      <c r="H7" s="32" t="s">
        <v>119</v>
      </c>
      <c r="I7" s="32" t="s">
        <v>120</v>
      </c>
      <c r="J7" s="34" t="str">
        <f aca="false">IFERROR(IF(ISNUMBER(SEARCH(Assumptions!$C$5,D7)),Assumptions!$D$5,IF(ISNUMBER(SEARCH(Assumptions!$C$6,D7)),Assumptions!$D$6,IF(ISNUMBER(SEARCH(Assumptions!$C$7,D7)),Assumptions!$D$7,"Other Services"))),"Other Services")</f>
        <v>Development</v>
      </c>
    </row>
    <row r="8" customFormat="false" ht="15" hidden="false" customHeight="true" outlineLevel="0" collapsed="false">
      <c r="A8" s="31" t="n">
        <v>46130</v>
      </c>
      <c r="B8" s="32" t="s">
        <v>116</v>
      </c>
      <c r="C8" s="32" t="s">
        <v>129</v>
      </c>
      <c r="D8" s="32" t="s">
        <v>123</v>
      </c>
      <c r="E8" s="33" t="n">
        <v>8015.74</v>
      </c>
      <c r="F8" s="33" t="n">
        <v>233.66</v>
      </c>
      <c r="G8" s="33" t="n">
        <v>7782.08</v>
      </c>
      <c r="H8" s="32" t="s">
        <v>119</v>
      </c>
      <c r="I8" s="32" t="s">
        <v>120</v>
      </c>
      <c r="J8" s="34" t="str">
        <f aca="false">IFERROR(IF(ISNUMBER(SEARCH(Assumptions!$C$5,D8)),Assumptions!$D$5,IF(ISNUMBER(SEARCH(Assumptions!$C$6,D8)),Assumptions!$D$6,IF(ISNUMBER(SEARCH(Assumptions!$C$7,D8)),Assumptions!$D$7,"Other Services"))),"Other Services")</f>
        <v>Development</v>
      </c>
    </row>
    <row r="9" customFormat="false" ht="15" hidden="false" customHeight="true" outlineLevel="0" collapsed="false">
      <c r="A9" s="31" t="n">
        <v>46137</v>
      </c>
      <c r="B9" s="32" t="s">
        <v>130</v>
      </c>
      <c r="C9" s="32" t="s">
        <v>131</v>
      </c>
      <c r="D9" s="32" t="s">
        <v>118</v>
      </c>
      <c r="E9" s="33" t="n">
        <v>14660.09</v>
      </c>
      <c r="F9" s="33" t="n">
        <v>426.34</v>
      </c>
      <c r="G9" s="33" t="n">
        <v>14233.75</v>
      </c>
      <c r="H9" s="32" t="s">
        <v>119</v>
      </c>
      <c r="I9" s="32" t="s">
        <v>120</v>
      </c>
      <c r="J9" s="34" t="str">
        <f aca="false">IFERROR(IF(ISNUMBER(SEARCH(Assumptions!$C$5,D9)),Assumptions!$D$5,IF(ISNUMBER(SEARCH(Assumptions!$C$6,D9)),Assumptions!$D$6,IF(ISNUMBER(SEARCH(Assumptions!$C$7,D9)),Assumptions!$D$7,"Other Services"))),"Other Services")</f>
        <v>WhatsApp</v>
      </c>
    </row>
    <row r="10" customFormat="false" ht="15" hidden="false" customHeight="true" outlineLevel="0" collapsed="false">
      <c r="A10" s="31" t="n">
        <v>46117</v>
      </c>
      <c r="B10" s="32" t="s">
        <v>132</v>
      </c>
      <c r="C10" s="32" t="s">
        <v>133</v>
      </c>
      <c r="D10" s="32" t="s">
        <v>134</v>
      </c>
      <c r="E10" s="33" t="n">
        <v>4503.4</v>
      </c>
      <c r="F10" s="33" t="n">
        <v>131.8</v>
      </c>
      <c r="G10" s="33" t="n">
        <v>4371.6</v>
      </c>
      <c r="H10" s="32" t="s">
        <v>119</v>
      </c>
      <c r="I10" s="32" t="s">
        <v>120</v>
      </c>
      <c r="J10" s="34" t="str">
        <f aca="false">IFERROR(IF(ISNUMBER(SEARCH(Assumptions!$C$5,D10)),Assumptions!$D$5,IF(ISNUMBER(SEARCH(Assumptions!$C$6,D10)),Assumptions!$D$6,IF(ISNUMBER(SEARCH(Assumptions!$C$7,D10)),Assumptions!$D$7,"Other Services"))),"Other Services")</f>
        <v>Subscription</v>
      </c>
    </row>
    <row r="11" customFormat="false" ht="15" hidden="false" customHeight="true" outlineLevel="0" collapsed="false">
      <c r="A11" s="31" t="n">
        <v>46125</v>
      </c>
      <c r="B11" s="32" t="s">
        <v>124</v>
      </c>
      <c r="C11" s="32" t="s">
        <v>135</v>
      </c>
      <c r="D11" s="32" t="s">
        <v>118</v>
      </c>
      <c r="E11" s="33" t="n">
        <v>2463.52</v>
      </c>
      <c r="F11" s="33" t="n">
        <v>72.64</v>
      </c>
      <c r="G11" s="33" t="n">
        <v>2390.88</v>
      </c>
      <c r="H11" s="32" t="s">
        <v>119</v>
      </c>
      <c r="I11" s="32" t="s">
        <v>120</v>
      </c>
      <c r="J11" s="34" t="str">
        <f aca="false">IFERROR(IF(ISNUMBER(SEARCH(Assumptions!$C$5,D11)),Assumptions!$D$5,IF(ISNUMBER(SEARCH(Assumptions!$C$6,D11)),Assumptions!$D$6,IF(ISNUMBER(SEARCH(Assumptions!$C$7,D11)),Assumptions!$D$7,"Other Services"))),"Other Services")</f>
        <v>WhatsApp</v>
      </c>
    </row>
    <row r="12" customFormat="false" ht="15" hidden="false" customHeight="true" outlineLevel="0" collapsed="false">
      <c r="A12" s="31" t="n">
        <v>46138</v>
      </c>
      <c r="B12" s="32" t="s">
        <v>136</v>
      </c>
      <c r="C12" s="32" t="s">
        <v>137</v>
      </c>
      <c r="D12" s="32" t="s">
        <v>134</v>
      </c>
      <c r="E12" s="33" t="n">
        <v>1547.35</v>
      </c>
      <c r="F12" s="33" t="n">
        <v>46.07</v>
      </c>
      <c r="G12" s="33" t="n">
        <v>1501.28</v>
      </c>
      <c r="H12" s="32" t="s">
        <v>119</v>
      </c>
      <c r="I12" s="32" t="s">
        <v>120</v>
      </c>
      <c r="J12" s="34" t="str">
        <f aca="false">IFERROR(IF(ISNUMBER(SEARCH(Assumptions!$C$5,D12)),Assumptions!$D$5,IF(ISNUMBER(SEARCH(Assumptions!$C$6,D12)),Assumptions!$D$6,IF(ISNUMBER(SEARCH(Assumptions!$C$7,D12)),Assumptions!$D$7,"Other Services"))),"Other Services")</f>
        <v>Subscription</v>
      </c>
    </row>
    <row r="13" customFormat="false" ht="15" hidden="false" customHeight="true" outlineLevel="0" collapsed="false">
      <c r="A13" s="31" t="n">
        <v>46115</v>
      </c>
      <c r="B13" s="32" t="s">
        <v>124</v>
      </c>
      <c r="C13" s="32" t="s">
        <v>138</v>
      </c>
      <c r="D13" s="32" t="s">
        <v>139</v>
      </c>
      <c r="E13" s="33" t="n">
        <v>10295.1</v>
      </c>
      <c r="F13" s="33" t="n">
        <v>299.76</v>
      </c>
      <c r="G13" s="33" t="n">
        <v>9995.34</v>
      </c>
      <c r="H13" s="32" t="s">
        <v>119</v>
      </c>
      <c r="I13" s="32" t="s">
        <v>120</v>
      </c>
      <c r="J13" s="34" t="str">
        <f aca="false">IFERROR(IF(ISNUMBER(SEARCH(Assumptions!$C$5,D13)),Assumptions!$D$5,IF(ISNUMBER(SEARCH(Assumptions!$C$6,D13)),Assumptions!$D$6,IF(ISNUMBER(SEARCH(Assumptions!$C$7,D13)),Assumptions!$D$7,"Other Services"))),"Other Services")</f>
        <v>Subscription</v>
      </c>
    </row>
    <row r="14" customFormat="false" ht="15" hidden="false" customHeight="true" outlineLevel="0" collapsed="false">
      <c r="A14" s="31" t="n">
        <v>46131</v>
      </c>
      <c r="B14" s="32" t="s">
        <v>136</v>
      </c>
      <c r="C14" s="32" t="s">
        <v>137</v>
      </c>
      <c r="D14" s="32" t="s">
        <v>134</v>
      </c>
      <c r="E14" s="33" t="n">
        <v>4107.36</v>
      </c>
      <c r="F14" s="33" t="n">
        <v>120.31</v>
      </c>
      <c r="G14" s="33" t="n">
        <v>3987.05</v>
      </c>
      <c r="H14" s="32" t="s">
        <v>119</v>
      </c>
      <c r="I14" s="32" t="s">
        <v>120</v>
      </c>
      <c r="J14" s="34" t="str">
        <f aca="false">IFERROR(IF(ISNUMBER(SEARCH(Assumptions!$C$5,D14)),Assumptions!$D$5,IF(ISNUMBER(SEARCH(Assumptions!$C$6,D14)),Assumptions!$D$6,IF(ISNUMBER(SEARCH(Assumptions!$C$7,D14)),Assumptions!$D$7,"Other Services"))),"Other Services")</f>
        <v>Subscription</v>
      </c>
    </row>
    <row r="15" customFormat="false" ht="15" hidden="false" customHeight="true" outlineLevel="0" collapsed="false">
      <c r="A15" s="31" t="n">
        <v>46137</v>
      </c>
      <c r="B15" s="32" t="s">
        <v>116</v>
      </c>
      <c r="C15" s="32" t="s">
        <v>140</v>
      </c>
      <c r="D15" s="32" t="s">
        <v>141</v>
      </c>
      <c r="E15" s="33" t="n">
        <v>5777.47</v>
      </c>
      <c r="F15" s="33" t="n">
        <v>168.75</v>
      </c>
      <c r="G15" s="33" t="n">
        <v>5608.72</v>
      </c>
      <c r="H15" s="32" t="s">
        <v>119</v>
      </c>
      <c r="I15" s="32" t="s">
        <v>120</v>
      </c>
      <c r="J15" s="34" t="str">
        <f aca="false">IFERROR(IF(ISNUMBER(SEARCH(Assumptions!$C$5,D15)),Assumptions!$D$5,IF(ISNUMBER(SEARCH(Assumptions!$C$6,D15)),Assumptions!$D$6,IF(ISNUMBER(SEARCH(Assumptions!$C$7,D15)),Assumptions!$D$7,"Other Services"))),"Other Services")</f>
        <v>WhatsApp</v>
      </c>
    </row>
    <row r="16" customFormat="false" ht="15" hidden="false" customHeight="true" outlineLevel="0" collapsed="false">
      <c r="A16" s="31" t="n">
        <v>46125</v>
      </c>
      <c r="B16" s="32" t="s">
        <v>127</v>
      </c>
      <c r="C16" s="32" t="s">
        <v>142</v>
      </c>
      <c r="D16" s="32" t="s">
        <v>118</v>
      </c>
      <c r="E16" s="33" t="n">
        <v>5581.15</v>
      </c>
      <c r="F16" s="33" t="n">
        <v>163.05</v>
      </c>
      <c r="G16" s="33" t="n">
        <v>5418.1</v>
      </c>
      <c r="H16" s="32" t="s">
        <v>119</v>
      </c>
      <c r="I16" s="32" t="s">
        <v>120</v>
      </c>
      <c r="J16" s="34" t="str">
        <f aca="false">IFERROR(IF(ISNUMBER(SEARCH(Assumptions!$C$5,D16)),Assumptions!$D$5,IF(ISNUMBER(SEARCH(Assumptions!$C$6,D16)),Assumptions!$D$6,IF(ISNUMBER(SEARCH(Assumptions!$C$7,D16)),Assumptions!$D$7,"Other Services"))),"Other Services")</f>
        <v>WhatsApp</v>
      </c>
    </row>
    <row r="17" customFormat="false" ht="15" hidden="false" customHeight="true" outlineLevel="0" collapsed="false">
      <c r="A17" s="31" t="n">
        <v>46124</v>
      </c>
      <c r="B17" s="32" t="s">
        <v>132</v>
      </c>
      <c r="C17" s="32" t="s">
        <v>143</v>
      </c>
      <c r="D17" s="32" t="s">
        <v>141</v>
      </c>
      <c r="E17" s="33" t="n">
        <v>6910.66</v>
      </c>
      <c r="F17" s="33" t="n">
        <v>201.61</v>
      </c>
      <c r="G17" s="33" t="n">
        <v>6709.05</v>
      </c>
      <c r="H17" s="32" t="s">
        <v>119</v>
      </c>
      <c r="I17" s="32" t="s">
        <v>120</v>
      </c>
      <c r="J17" s="34" t="str">
        <f aca="false">IFERROR(IF(ISNUMBER(SEARCH(Assumptions!$C$5,D17)),Assumptions!$D$5,IF(ISNUMBER(SEARCH(Assumptions!$C$6,D17)),Assumptions!$D$6,IF(ISNUMBER(SEARCH(Assumptions!$C$7,D17)),Assumptions!$D$7,"Other Services"))),"Other Services")</f>
        <v>WhatsApp</v>
      </c>
    </row>
    <row r="18" customFormat="false" ht="15" hidden="false" customHeight="true" outlineLevel="0" collapsed="false">
      <c r="A18" s="31" t="n">
        <v>46163</v>
      </c>
      <c r="B18" s="32" t="s">
        <v>144</v>
      </c>
      <c r="C18" s="32" t="s">
        <v>145</v>
      </c>
      <c r="D18" s="32" t="s">
        <v>123</v>
      </c>
      <c r="E18" s="33" t="n">
        <v>2028.12</v>
      </c>
      <c r="F18" s="33" t="n">
        <v>60.02</v>
      </c>
      <c r="G18" s="33" t="n">
        <v>1968.1</v>
      </c>
      <c r="H18" s="32" t="s">
        <v>119</v>
      </c>
      <c r="I18" s="32" t="s">
        <v>120</v>
      </c>
      <c r="J18" s="34" t="str">
        <f aca="false">IFERROR(IF(ISNUMBER(SEARCH(Assumptions!$C$5,D18)),Assumptions!$D$5,IF(ISNUMBER(SEARCH(Assumptions!$C$6,D18)),Assumptions!$D$6,IF(ISNUMBER(SEARCH(Assumptions!$C$7,D18)),Assumptions!$D$7,"Other Services"))),"Other Services")</f>
        <v>Development</v>
      </c>
    </row>
    <row r="19" customFormat="false" ht="15" hidden="false" customHeight="true" outlineLevel="0" collapsed="false">
      <c r="A19" s="31" t="n">
        <v>46150</v>
      </c>
      <c r="B19" s="32" t="s">
        <v>146</v>
      </c>
      <c r="C19" s="32" t="s">
        <v>147</v>
      </c>
      <c r="D19" s="32" t="s">
        <v>123</v>
      </c>
      <c r="E19" s="33" t="n">
        <v>3610.52</v>
      </c>
      <c r="F19" s="33" t="n">
        <v>105.91</v>
      </c>
      <c r="G19" s="33" t="n">
        <v>3504.61</v>
      </c>
      <c r="H19" s="32" t="s">
        <v>119</v>
      </c>
      <c r="I19" s="32" t="s">
        <v>120</v>
      </c>
      <c r="J19" s="34" t="str">
        <f aca="false">IFERROR(IF(ISNUMBER(SEARCH(Assumptions!$C$5,D19)),Assumptions!$D$5,IF(ISNUMBER(SEARCH(Assumptions!$C$6,D19)),Assumptions!$D$6,IF(ISNUMBER(SEARCH(Assumptions!$C$7,D19)),Assumptions!$D$7,"Other Services"))),"Other Services")</f>
        <v>Development</v>
      </c>
    </row>
    <row r="20" customFormat="false" ht="15" hidden="false" customHeight="true" outlineLevel="0" collapsed="false">
      <c r="A20" s="31" t="n">
        <v>46160</v>
      </c>
      <c r="B20" s="32" t="s">
        <v>116</v>
      </c>
      <c r="C20" s="32" t="s">
        <v>129</v>
      </c>
      <c r="D20" s="32" t="s">
        <v>123</v>
      </c>
      <c r="E20" s="33" t="n">
        <v>4577.38</v>
      </c>
      <c r="F20" s="33" t="n">
        <v>133.94</v>
      </c>
      <c r="G20" s="33" t="n">
        <v>4443.44</v>
      </c>
      <c r="H20" s="32" t="s">
        <v>119</v>
      </c>
      <c r="I20" s="32" t="s">
        <v>120</v>
      </c>
      <c r="J20" s="34" t="str">
        <f aca="false">IFERROR(IF(ISNUMBER(SEARCH(Assumptions!$C$5,D20)),Assumptions!$D$5,IF(ISNUMBER(SEARCH(Assumptions!$C$6,D20)),Assumptions!$D$6,IF(ISNUMBER(SEARCH(Assumptions!$C$7,D20)),Assumptions!$D$7,"Other Services"))),"Other Services")</f>
        <v>Development</v>
      </c>
    </row>
    <row r="21" customFormat="false" ht="15" hidden="false" customHeight="true" outlineLevel="0" collapsed="false">
      <c r="A21" s="31" t="n">
        <v>46169</v>
      </c>
      <c r="B21" s="32" t="s">
        <v>148</v>
      </c>
      <c r="C21" s="32" t="s">
        <v>149</v>
      </c>
      <c r="D21" s="32" t="s">
        <v>141</v>
      </c>
      <c r="E21" s="33" t="n">
        <v>1352.12</v>
      </c>
      <c r="F21" s="33" t="n">
        <v>40.41</v>
      </c>
      <c r="G21" s="33" t="n">
        <v>1311.71</v>
      </c>
      <c r="H21" s="32" t="s">
        <v>119</v>
      </c>
      <c r="I21" s="32" t="s">
        <v>120</v>
      </c>
      <c r="J21" s="34" t="str">
        <f aca="false">IFERROR(IF(ISNUMBER(SEARCH(Assumptions!$C$5,D21)),Assumptions!$D$5,IF(ISNUMBER(SEARCH(Assumptions!$C$6,D21)),Assumptions!$D$6,IF(ISNUMBER(SEARCH(Assumptions!$C$7,D21)),Assumptions!$D$7,"Other Services"))),"Other Services")</f>
        <v>WhatsApp</v>
      </c>
    </row>
    <row r="22" customFormat="false" ht="15" hidden="false" customHeight="true" outlineLevel="0" collapsed="false">
      <c r="A22" s="31" t="n">
        <v>46149</v>
      </c>
      <c r="B22" s="32" t="s">
        <v>130</v>
      </c>
      <c r="C22" s="32" t="s">
        <v>131</v>
      </c>
      <c r="D22" s="32" t="s">
        <v>118</v>
      </c>
      <c r="E22" s="33" t="n">
        <v>16505.94</v>
      </c>
      <c r="F22" s="33" t="n">
        <v>479.87</v>
      </c>
      <c r="G22" s="33" t="n">
        <v>16026.07</v>
      </c>
      <c r="H22" s="32" t="s">
        <v>119</v>
      </c>
      <c r="I22" s="32" t="s">
        <v>120</v>
      </c>
      <c r="J22" s="34" t="str">
        <f aca="false">IFERROR(IF(ISNUMBER(SEARCH(Assumptions!$C$5,D22)),Assumptions!$D$5,IF(ISNUMBER(SEARCH(Assumptions!$C$6,D22)),Assumptions!$D$6,IF(ISNUMBER(SEARCH(Assumptions!$C$7,D22)),Assumptions!$D$7,"Other Services"))),"Other Services")</f>
        <v>WhatsApp</v>
      </c>
    </row>
    <row r="23" customFormat="false" ht="15" hidden="false" customHeight="true" outlineLevel="0" collapsed="false">
      <c r="A23" s="31" t="n">
        <v>46149</v>
      </c>
      <c r="B23" s="32" t="s">
        <v>144</v>
      </c>
      <c r="C23" s="32" t="s">
        <v>150</v>
      </c>
      <c r="D23" s="32" t="s">
        <v>134</v>
      </c>
      <c r="E23" s="33" t="n">
        <v>12073.55</v>
      </c>
      <c r="F23" s="33" t="n">
        <v>351.33</v>
      </c>
      <c r="G23" s="33" t="n">
        <v>11722.22</v>
      </c>
      <c r="H23" s="32" t="s">
        <v>119</v>
      </c>
      <c r="I23" s="32" t="s">
        <v>120</v>
      </c>
      <c r="J23" s="34" t="str">
        <f aca="false">IFERROR(IF(ISNUMBER(SEARCH(Assumptions!$C$5,D23)),Assumptions!$D$5,IF(ISNUMBER(SEARCH(Assumptions!$C$6,D23)),Assumptions!$D$6,IF(ISNUMBER(SEARCH(Assumptions!$C$7,D23)),Assumptions!$D$7,"Other Services"))),"Other Services")</f>
        <v>Subscription</v>
      </c>
    </row>
    <row r="24" customFormat="false" ht="15" hidden="false" customHeight="true" outlineLevel="0" collapsed="false">
      <c r="A24" s="31" t="n">
        <v>46147</v>
      </c>
      <c r="B24" s="32" t="s">
        <v>116</v>
      </c>
      <c r="C24" s="32" t="s">
        <v>151</v>
      </c>
      <c r="D24" s="32" t="s">
        <v>139</v>
      </c>
      <c r="E24" s="33" t="n">
        <v>5355.94</v>
      </c>
      <c r="F24" s="33" t="n">
        <v>156.52</v>
      </c>
      <c r="G24" s="33" t="n">
        <v>5199.42</v>
      </c>
      <c r="H24" s="32" t="s">
        <v>119</v>
      </c>
      <c r="I24" s="32" t="s">
        <v>120</v>
      </c>
      <c r="J24" s="34" t="str">
        <f aca="false">IFERROR(IF(ISNUMBER(SEARCH(Assumptions!$C$5,D24)),Assumptions!$D$5,IF(ISNUMBER(SEARCH(Assumptions!$C$6,D24)),Assumptions!$D$6,IF(ISNUMBER(SEARCH(Assumptions!$C$7,D24)),Assumptions!$D$7,"Other Services"))),"Other Services")</f>
        <v>Subscription</v>
      </c>
    </row>
    <row r="25" customFormat="false" ht="15" hidden="false" customHeight="true" outlineLevel="0" collapsed="false">
      <c r="A25" s="31" t="n">
        <v>46151</v>
      </c>
      <c r="B25" s="32" t="s">
        <v>146</v>
      </c>
      <c r="C25" s="32" t="s">
        <v>152</v>
      </c>
      <c r="D25" s="32" t="s">
        <v>126</v>
      </c>
      <c r="E25" s="33" t="n">
        <v>13648.64</v>
      </c>
      <c r="F25" s="33" t="n">
        <v>397.01</v>
      </c>
      <c r="G25" s="33" t="n">
        <v>13251.63</v>
      </c>
      <c r="H25" s="32" t="s">
        <v>119</v>
      </c>
      <c r="I25" s="32" t="s">
        <v>120</v>
      </c>
      <c r="J25" s="34" t="str">
        <f aca="false">IFERROR(IF(ISNUMBER(SEARCH(Assumptions!$C$5,D25)),Assumptions!$D$5,IF(ISNUMBER(SEARCH(Assumptions!$C$6,D25)),Assumptions!$D$6,IF(ISNUMBER(SEARCH(Assumptions!$C$7,D25)),Assumptions!$D$7,"Other Services"))),"Other Services")</f>
        <v>Development</v>
      </c>
    </row>
    <row r="26" customFormat="false" ht="15" hidden="false" customHeight="true" outlineLevel="0" collapsed="false">
      <c r="A26" s="31" t="n">
        <v>46154</v>
      </c>
      <c r="B26" s="32" t="s">
        <v>136</v>
      </c>
      <c r="C26" s="32" t="s">
        <v>153</v>
      </c>
      <c r="D26" s="32" t="s">
        <v>139</v>
      </c>
      <c r="E26" s="33" t="n">
        <v>4572.32</v>
      </c>
      <c r="F26" s="33" t="n">
        <v>133.8</v>
      </c>
      <c r="G26" s="33" t="n">
        <v>4438.52</v>
      </c>
      <c r="H26" s="32" t="s">
        <v>119</v>
      </c>
      <c r="I26" s="32" t="s">
        <v>154</v>
      </c>
      <c r="J26" s="34" t="str">
        <f aca="false">IFERROR(IF(ISNUMBER(SEARCH(Assumptions!$C$5,D26)),Assumptions!$D$5,IF(ISNUMBER(SEARCH(Assumptions!$C$6,D26)),Assumptions!$D$6,IF(ISNUMBER(SEARCH(Assumptions!$C$7,D26)),Assumptions!$D$7,"Other Services"))),"Other Services")</f>
        <v>Subscription</v>
      </c>
    </row>
    <row r="27" customFormat="false" ht="15" hidden="false" customHeight="true" outlineLevel="0" collapsed="false">
      <c r="A27" s="31" t="n">
        <v>46145</v>
      </c>
      <c r="B27" s="32" t="s">
        <v>146</v>
      </c>
      <c r="C27" s="32" t="s">
        <v>155</v>
      </c>
      <c r="D27" s="32" t="s">
        <v>139</v>
      </c>
      <c r="E27" s="33" t="n">
        <v>13799.45</v>
      </c>
      <c r="F27" s="33" t="n">
        <v>401.38</v>
      </c>
      <c r="G27" s="33" t="n">
        <v>13398.07</v>
      </c>
      <c r="H27" s="32" t="s">
        <v>119</v>
      </c>
      <c r="I27" s="32" t="s">
        <v>120</v>
      </c>
      <c r="J27" s="34" t="str">
        <f aca="false">IFERROR(IF(ISNUMBER(SEARCH(Assumptions!$C$5,D27)),Assumptions!$D$5,IF(ISNUMBER(SEARCH(Assumptions!$C$6,D27)),Assumptions!$D$6,IF(ISNUMBER(SEARCH(Assumptions!$C$7,D27)),Assumptions!$D$7,"Other Services"))),"Other Services")</f>
        <v>Subscription</v>
      </c>
    </row>
    <row r="28" customFormat="false" ht="15" hidden="false" customHeight="true" outlineLevel="0" collapsed="false">
      <c r="A28" s="31" t="n">
        <v>46148</v>
      </c>
      <c r="B28" s="32" t="s">
        <v>121</v>
      </c>
      <c r="C28" s="32" t="s">
        <v>122</v>
      </c>
      <c r="D28" s="32" t="s">
        <v>123</v>
      </c>
      <c r="E28" s="33" t="n">
        <v>14423.77</v>
      </c>
      <c r="F28" s="33" t="n">
        <v>419.49</v>
      </c>
      <c r="G28" s="33" t="n">
        <v>14004.28</v>
      </c>
      <c r="H28" s="32" t="s">
        <v>119</v>
      </c>
      <c r="I28" s="32" t="s">
        <v>120</v>
      </c>
      <c r="J28" s="34" t="str">
        <f aca="false">IFERROR(IF(ISNUMBER(SEARCH(Assumptions!$C$5,D28)),Assumptions!$D$5,IF(ISNUMBER(SEARCH(Assumptions!$C$6,D28)),Assumptions!$D$6,IF(ISNUMBER(SEARCH(Assumptions!$C$7,D28)),Assumptions!$D$7,"Other Services"))),"Other Services")</f>
        <v>Development</v>
      </c>
    </row>
    <row r="29" customFormat="false" ht="15" hidden="false" customHeight="true" outlineLevel="0" collapsed="false">
      <c r="A29" s="31" t="n">
        <v>46155</v>
      </c>
      <c r="B29" s="32" t="s">
        <v>124</v>
      </c>
      <c r="C29" s="32" t="s">
        <v>138</v>
      </c>
      <c r="D29" s="32" t="s">
        <v>139</v>
      </c>
      <c r="E29" s="33" t="n">
        <v>11049.28</v>
      </c>
      <c r="F29" s="33" t="n">
        <v>321.63</v>
      </c>
      <c r="G29" s="33" t="n">
        <v>10727.65</v>
      </c>
      <c r="H29" s="32" t="s">
        <v>119</v>
      </c>
      <c r="I29" s="32" t="s">
        <v>120</v>
      </c>
      <c r="J29" s="34" t="str">
        <f aca="false">IFERROR(IF(ISNUMBER(SEARCH(Assumptions!$C$5,D29)),Assumptions!$D$5,IF(ISNUMBER(SEARCH(Assumptions!$C$6,D29)),Assumptions!$D$6,IF(ISNUMBER(SEARCH(Assumptions!$C$7,D29)),Assumptions!$D$7,"Other Services"))),"Other Services")</f>
        <v>Subscription</v>
      </c>
    </row>
    <row r="30" customFormat="false" ht="15" hidden="false" customHeight="true" outlineLevel="0" collapsed="false">
      <c r="A30" s="31" t="n">
        <v>46143</v>
      </c>
      <c r="B30" s="32" t="s">
        <v>130</v>
      </c>
      <c r="C30" s="32" t="s">
        <v>156</v>
      </c>
      <c r="D30" s="32" t="s">
        <v>126</v>
      </c>
      <c r="E30" s="33" t="n">
        <v>12500.87</v>
      </c>
      <c r="F30" s="33" t="n">
        <v>363.73</v>
      </c>
      <c r="G30" s="33" t="n">
        <v>12137.14</v>
      </c>
      <c r="H30" s="32" t="s">
        <v>119</v>
      </c>
      <c r="I30" s="32" t="s">
        <v>120</v>
      </c>
      <c r="J30" s="34" t="str">
        <f aca="false">IFERROR(IF(ISNUMBER(SEARCH(Assumptions!$C$5,D30)),Assumptions!$D$5,IF(ISNUMBER(SEARCH(Assumptions!$C$6,D30)),Assumptions!$D$6,IF(ISNUMBER(SEARCH(Assumptions!$C$7,D30)),Assumptions!$D$7,"Other Services"))),"Other Services")</f>
        <v>Development</v>
      </c>
    </row>
    <row r="31" customFormat="false" ht="15" hidden="false" customHeight="true" outlineLevel="0" collapsed="false">
      <c r="A31" s="31" t="n">
        <v>46167</v>
      </c>
      <c r="B31" s="32" t="s">
        <v>146</v>
      </c>
      <c r="C31" s="32" t="s">
        <v>157</v>
      </c>
      <c r="D31" s="32" t="s">
        <v>134</v>
      </c>
      <c r="E31" s="33" t="n">
        <v>11824.54</v>
      </c>
      <c r="F31" s="33" t="n">
        <v>344.11</v>
      </c>
      <c r="G31" s="33" t="n">
        <v>11480.43</v>
      </c>
      <c r="H31" s="32" t="s">
        <v>119</v>
      </c>
      <c r="I31" s="32" t="s">
        <v>120</v>
      </c>
      <c r="J31" s="34" t="str">
        <f aca="false">IFERROR(IF(ISNUMBER(SEARCH(Assumptions!$C$5,D31)),Assumptions!$D$5,IF(ISNUMBER(SEARCH(Assumptions!$C$6,D31)),Assumptions!$D$6,IF(ISNUMBER(SEARCH(Assumptions!$C$7,D31)),Assumptions!$D$7,"Other Services"))),"Other Services")</f>
        <v>Subscription</v>
      </c>
    </row>
    <row r="32" customFormat="false" ht="15" hidden="false" customHeight="true" outlineLevel="0" collapsed="false">
      <c r="A32" s="31" t="n">
        <v>46188</v>
      </c>
      <c r="B32" s="32" t="s">
        <v>158</v>
      </c>
      <c r="C32" s="32" t="s">
        <v>159</v>
      </c>
      <c r="D32" s="32" t="s">
        <v>141</v>
      </c>
      <c r="E32" s="33" t="n">
        <v>855.82</v>
      </c>
      <c r="F32" s="33" t="n">
        <v>26.02</v>
      </c>
      <c r="G32" s="33" t="n">
        <v>829.8</v>
      </c>
      <c r="H32" s="32" t="s">
        <v>119</v>
      </c>
      <c r="I32" s="32" t="s">
        <v>120</v>
      </c>
      <c r="J32" s="34" t="str">
        <f aca="false">IFERROR(IF(ISNUMBER(SEARCH(Assumptions!$C$5,D32)),Assumptions!$D$5,IF(ISNUMBER(SEARCH(Assumptions!$C$6,D32)),Assumptions!$D$6,IF(ISNUMBER(SEARCH(Assumptions!$C$7,D32)),Assumptions!$D$7,"Other Services"))),"Other Services")</f>
        <v>WhatsApp</v>
      </c>
    </row>
    <row r="33" customFormat="false" ht="15" hidden="false" customHeight="true" outlineLevel="0" collapsed="false">
      <c r="A33" s="31" t="n">
        <v>46190</v>
      </c>
      <c r="B33" s="32" t="s">
        <v>144</v>
      </c>
      <c r="C33" s="32" t="s">
        <v>150</v>
      </c>
      <c r="D33" s="32" t="s">
        <v>134</v>
      </c>
      <c r="E33" s="33" t="n">
        <v>13905.75</v>
      </c>
      <c r="F33" s="33" t="n">
        <v>404.47</v>
      </c>
      <c r="G33" s="33" t="n">
        <v>13501.28</v>
      </c>
      <c r="H33" s="32" t="s">
        <v>119</v>
      </c>
      <c r="I33" s="32" t="s">
        <v>120</v>
      </c>
      <c r="J33" s="34" t="str">
        <f aca="false">IFERROR(IF(ISNUMBER(SEARCH(Assumptions!$C$5,D33)),Assumptions!$D$5,IF(ISNUMBER(SEARCH(Assumptions!$C$6,D33)),Assumptions!$D$6,IF(ISNUMBER(SEARCH(Assumptions!$C$7,D33)),Assumptions!$D$7,"Other Services"))),"Other Services")</f>
        <v>Subscription</v>
      </c>
    </row>
    <row r="34" customFormat="false" ht="15" hidden="false" customHeight="true" outlineLevel="0" collapsed="false">
      <c r="A34" s="31" t="n">
        <v>46183</v>
      </c>
      <c r="B34" s="32" t="s">
        <v>124</v>
      </c>
      <c r="C34" s="32" t="s">
        <v>160</v>
      </c>
      <c r="D34" s="32" t="s">
        <v>123</v>
      </c>
      <c r="E34" s="33" t="n">
        <v>15276.71</v>
      </c>
      <c r="F34" s="33" t="n">
        <v>444.22</v>
      </c>
      <c r="G34" s="33" t="n">
        <v>14832.49</v>
      </c>
      <c r="H34" s="32" t="s">
        <v>119</v>
      </c>
      <c r="I34" s="32" t="s">
        <v>120</v>
      </c>
      <c r="J34" s="34" t="str">
        <f aca="false">IFERROR(IF(ISNUMBER(SEARCH(Assumptions!$C$5,D34)),Assumptions!$D$5,IF(ISNUMBER(SEARCH(Assumptions!$C$6,D34)),Assumptions!$D$6,IF(ISNUMBER(SEARCH(Assumptions!$C$7,D34)),Assumptions!$D$7,"Other Services"))),"Other Services")</f>
        <v>Development</v>
      </c>
    </row>
    <row r="35" customFormat="false" ht="15" hidden="false" customHeight="true" outlineLevel="0" collapsed="false">
      <c r="A35" s="31" t="n">
        <v>46185</v>
      </c>
      <c r="B35" s="32" t="s">
        <v>127</v>
      </c>
      <c r="C35" s="32" t="s">
        <v>161</v>
      </c>
      <c r="D35" s="32" t="s">
        <v>141</v>
      </c>
      <c r="E35" s="33" t="n">
        <v>13915.19</v>
      </c>
      <c r="F35" s="33" t="n">
        <v>404.74</v>
      </c>
      <c r="G35" s="33" t="n">
        <v>13510.45</v>
      </c>
      <c r="H35" s="32" t="s">
        <v>119</v>
      </c>
      <c r="I35" s="32" t="s">
        <v>120</v>
      </c>
      <c r="J35" s="34" t="str">
        <f aca="false">IFERROR(IF(ISNUMBER(SEARCH(Assumptions!$C$5,D35)),Assumptions!$D$5,IF(ISNUMBER(SEARCH(Assumptions!$C$6,D35)),Assumptions!$D$6,IF(ISNUMBER(SEARCH(Assumptions!$C$7,D35)),Assumptions!$D$7,"Other Services"))),"Other Services")</f>
        <v>WhatsApp</v>
      </c>
    </row>
    <row r="36" customFormat="false" ht="15" hidden="false" customHeight="true" outlineLevel="0" collapsed="false">
      <c r="A36" s="31" t="n">
        <v>46193</v>
      </c>
      <c r="B36" s="32" t="s">
        <v>146</v>
      </c>
      <c r="C36" s="32" t="s">
        <v>162</v>
      </c>
      <c r="D36" s="32" t="s">
        <v>118</v>
      </c>
      <c r="E36" s="33" t="n">
        <v>6375.48</v>
      </c>
      <c r="F36" s="33" t="n">
        <v>186.09</v>
      </c>
      <c r="G36" s="33" t="n">
        <v>6189.39</v>
      </c>
      <c r="H36" s="32" t="s">
        <v>119</v>
      </c>
      <c r="I36" s="32" t="s">
        <v>120</v>
      </c>
      <c r="J36" s="34" t="str">
        <f aca="false">IFERROR(IF(ISNUMBER(SEARCH(Assumptions!$C$5,D36)),Assumptions!$D$5,IF(ISNUMBER(SEARCH(Assumptions!$C$6,D36)),Assumptions!$D$6,IF(ISNUMBER(SEARCH(Assumptions!$C$7,D36)),Assumptions!$D$7,"Other Services"))),"Other Services")</f>
        <v>WhatsApp</v>
      </c>
    </row>
    <row r="37" customFormat="false" ht="15" hidden="false" customHeight="true" outlineLevel="0" collapsed="false">
      <c r="A37" s="31" t="n">
        <v>46181</v>
      </c>
      <c r="B37" s="32" t="s">
        <v>132</v>
      </c>
      <c r="C37" s="32" t="s">
        <v>133</v>
      </c>
      <c r="D37" s="32" t="s">
        <v>134</v>
      </c>
      <c r="E37" s="33" t="n">
        <v>1796.31</v>
      </c>
      <c r="F37" s="33" t="n">
        <v>53.29</v>
      </c>
      <c r="G37" s="33" t="n">
        <v>1743.02</v>
      </c>
      <c r="H37" s="32" t="s">
        <v>119</v>
      </c>
      <c r="I37" s="32" t="s">
        <v>120</v>
      </c>
      <c r="J37" s="34" t="str">
        <f aca="false">IFERROR(IF(ISNUMBER(SEARCH(Assumptions!$C$5,D37)),Assumptions!$D$5,IF(ISNUMBER(SEARCH(Assumptions!$C$6,D37)),Assumptions!$D$6,IF(ISNUMBER(SEARCH(Assumptions!$C$7,D37)),Assumptions!$D$7,"Other Services"))),"Other Services")</f>
        <v>Subscription</v>
      </c>
    </row>
    <row r="38" customFormat="false" ht="15" hidden="false" customHeight="true" outlineLevel="0" collapsed="false">
      <c r="A38" s="31" t="n">
        <v>46197</v>
      </c>
      <c r="B38" s="32" t="s">
        <v>124</v>
      </c>
      <c r="C38" s="32" t="s">
        <v>135</v>
      </c>
      <c r="D38" s="32" t="s">
        <v>118</v>
      </c>
      <c r="E38" s="33" t="n">
        <v>9159.04</v>
      </c>
      <c r="F38" s="33" t="n">
        <v>266.81</v>
      </c>
      <c r="G38" s="33" t="n">
        <v>8892.23</v>
      </c>
      <c r="H38" s="32" t="s">
        <v>119</v>
      </c>
      <c r="I38" s="32" t="s">
        <v>120</v>
      </c>
      <c r="J38" s="34" t="str">
        <f aca="false">IFERROR(IF(ISNUMBER(SEARCH(Assumptions!$C$5,D38)),Assumptions!$D$5,IF(ISNUMBER(SEARCH(Assumptions!$C$6,D38)),Assumptions!$D$6,IF(ISNUMBER(SEARCH(Assumptions!$C$7,D38)),Assumptions!$D$7,"Other Services"))),"Other Services")</f>
        <v>WhatsApp</v>
      </c>
    </row>
    <row r="39" customFormat="false" ht="15" hidden="false" customHeight="true" outlineLevel="0" collapsed="false">
      <c r="A39" s="31" t="n">
        <v>46178</v>
      </c>
      <c r="B39" s="32" t="s">
        <v>146</v>
      </c>
      <c r="C39" s="32" t="s">
        <v>163</v>
      </c>
      <c r="D39" s="32" t="s">
        <v>141</v>
      </c>
      <c r="E39" s="33" t="n">
        <v>12147.71</v>
      </c>
      <c r="F39" s="33" t="n">
        <v>353.48</v>
      </c>
      <c r="G39" s="33" t="n">
        <v>11794.23</v>
      </c>
      <c r="H39" s="32" t="s">
        <v>119</v>
      </c>
      <c r="I39" s="32" t="s">
        <v>120</v>
      </c>
      <c r="J39" s="34" t="str">
        <f aca="false">IFERROR(IF(ISNUMBER(SEARCH(Assumptions!$C$5,D39)),Assumptions!$D$5,IF(ISNUMBER(SEARCH(Assumptions!$C$6,D39)),Assumptions!$D$6,IF(ISNUMBER(SEARCH(Assumptions!$C$7,D39)),Assumptions!$D$7,"Other Services"))),"Other Services")</f>
        <v>WhatsApp</v>
      </c>
    </row>
    <row r="40" customFormat="false" ht="15" hidden="false" customHeight="true" outlineLevel="0" collapsed="false">
      <c r="A40" s="31" t="n">
        <v>46190</v>
      </c>
      <c r="B40" s="32" t="s">
        <v>121</v>
      </c>
      <c r="C40" s="32" t="s">
        <v>164</v>
      </c>
      <c r="D40" s="32" t="s">
        <v>134</v>
      </c>
      <c r="E40" s="33" t="n">
        <v>15805.85</v>
      </c>
      <c r="F40" s="33" t="n">
        <v>459.57</v>
      </c>
      <c r="G40" s="33" t="n">
        <v>15346.28</v>
      </c>
      <c r="H40" s="32" t="s">
        <v>119</v>
      </c>
      <c r="I40" s="32" t="s">
        <v>120</v>
      </c>
      <c r="J40" s="34" t="str">
        <f aca="false">IFERROR(IF(ISNUMBER(SEARCH(Assumptions!$C$5,D40)),Assumptions!$D$5,IF(ISNUMBER(SEARCH(Assumptions!$C$6,D40)),Assumptions!$D$6,IF(ISNUMBER(SEARCH(Assumptions!$C$7,D40)),Assumptions!$D$7,"Other Services"))),"Other Services")</f>
        <v>Subscription</v>
      </c>
    </row>
    <row r="41" customFormat="false" ht="15" hidden="false" customHeight="true" outlineLevel="0" collapsed="false">
      <c r="A41" s="31" t="n">
        <v>46198</v>
      </c>
      <c r="B41" s="32" t="s">
        <v>127</v>
      </c>
      <c r="C41" s="32" t="s">
        <v>128</v>
      </c>
      <c r="D41" s="32" t="s">
        <v>126</v>
      </c>
      <c r="E41" s="33" t="n">
        <v>13354.81</v>
      </c>
      <c r="F41" s="33" t="n">
        <v>388.49</v>
      </c>
      <c r="G41" s="33" t="n">
        <v>12966.32</v>
      </c>
      <c r="H41" s="32" t="s">
        <v>119</v>
      </c>
      <c r="I41" s="32" t="s">
        <v>120</v>
      </c>
      <c r="J41" s="34" t="str">
        <f aca="false">IFERROR(IF(ISNUMBER(SEARCH(Assumptions!$C$5,D41)),Assumptions!$D$5,IF(ISNUMBER(SEARCH(Assumptions!$C$6,D41)),Assumptions!$D$6,IF(ISNUMBER(SEARCH(Assumptions!$C$7,D41)),Assumptions!$D$7,"Other Services"))),"Other Services")</f>
        <v>Development</v>
      </c>
    </row>
    <row r="42" customFormat="false" ht="15" hidden="false" customHeight="true" outlineLevel="0" collapsed="false">
      <c r="A42" s="31" t="n">
        <v>46195</v>
      </c>
      <c r="B42" s="32" t="s">
        <v>130</v>
      </c>
      <c r="C42" s="32" t="s">
        <v>165</v>
      </c>
      <c r="D42" s="32" t="s">
        <v>139</v>
      </c>
      <c r="E42" s="33" t="n">
        <v>11977.9</v>
      </c>
      <c r="F42" s="33" t="n">
        <v>348.56</v>
      </c>
      <c r="G42" s="33" t="n">
        <v>11629.34</v>
      </c>
      <c r="H42" s="32" t="s">
        <v>119</v>
      </c>
      <c r="I42" s="32" t="s">
        <v>120</v>
      </c>
      <c r="J42" s="34" t="str">
        <f aca="false">IFERROR(IF(ISNUMBER(SEARCH(Assumptions!$C$5,D42)),Assumptions!$D$5,IF(ISNUMBER(SEARCH(Assumptions!$C$6,D42)),Assumptions!$D$6,IF(ISNUMBER(SEARCH(Assumptions!$C$7,D42)),Assumptions!$D$7,"Other Services"))),"Other Services")</f>
        <v>Subscription</v>
      </c>
    </row>
    <row r="43" customFormat="false" ht="15" hidden="false" customHeight="true" outlineLevel="0" collapsed="false">
      <c r="A43" s="31" t="n">
        <v>46177</v>
      </c>
      <c r="B43" s="32" t="s">
        <v>146</v>
      </c>
      <c r="C43" s="32" t="s">
        <v>155</v>
      </c>
      <c r="D43" s="32" t="s">
        <v>139</v>
      </c>
      <c r="E43" s="33" t="n">
        <v>5063.98</v>
      </c>
      <c r="F43" s="33" t="n">
        <v>148.06</v>
      </c>
      <c r="G43" s="33" t="n">
        <v>4915.92</v>
      </c>
      <c r="H43" s="32" t="s">
        <v>119</v>
      </c>
      <c r="I43" s="32" t="s">
        <v>120</v>
      </c>
      <c r="J43" s="34" t="str">
        <f aca="false">IFERROR(IF(ISNUMBER(SEARCH(Assumptions!$C$5,D43)),Assumptions!$D$5,IF(ISNUMBER(SEARCH(Assumptions!$C$6,D43)),Assumptions!$D$6,IF(ISNUMBER(SEARCH(Assumptions!$C$7,D43)),Assumptions!$D$7,"Other Services"))),"Other Services")</f>
        <v>Subscription</v>
      </c>
    </row>
    <row r="44" customFormat="false" ht="15" hidden="false" customHeight="true" outlineLevel="0" collapsed="false">
      <c r="A44" s="31" t="n">
        <v>46191</v>
      </c>
      <c r="B44" s="32" t="s">
        <v>148</v>
      </c>
      <c r="C44" s="32" t="s">
        <v>166</v>
      </c>
      <c r="D44" s="32" t="s">
        <v>126</v>
      </c>
      <c r="E44" s="33" t="n">
        <v>4757.97</v>
      </c>
      <c r="F44" s="33" t="n">
        <v>139.18</v>
      </c>
      <c r="G44" s="33" t="n">
        <v>4618.79</v>
      </c>
      <c r="H44" s="32" t="s">
        <v>119</v>
      </c>
      <c r="I44" s="32" t="s">
        <v>120</v>
      </c>
      <c r="J44" s="34" t="str">
        <f aca="false">IFERROR(IF(ISNUMBER(SEARCH(Assumptions!$C$5,D44)),Assumptions!$D$5,IF(ISNUMBER(SEARCH(Assumptions!$C$6,D44)),Assumptions!$D$6,IF(ISNUMBER(SEARCH(Assumptions!$C$7,D44)),Assumptions!$D$7,"Other Services"))),"Other Services")</f>
        <v>Development</v>
      </c>
    </row>
    <row r="45" customFormat="false" ht="15" hidden="false" customHeight="true" outlineLevel="0" collapsed="false">
      <c r="A45" s="31" t="n">
        <v>46194</v>
      </c>
      <c r="B45" s="32" t="s">
        <v>124</v>
      </c>
      <c r="C45" s="32" t="s">
        <v>160</v>
      </c>
      <c r="D45" s="32" t="s">
        <v>123</v>
      </c>
      <c r="E45" s="33" t="n">
        <v>1812.63</v>
      </c>
      <c r="F45" s="33" t="n">
        <v>53.77</v>
      </c>
      <c r="G45" s="33" t="n">
        <v>1758.86</v>
      </c>
      <c r="H45" s="32" t="s">
        <v>119</v>
      </c>
      <c r="I45" s="32" t="s">
        <v>120</v>
      </c>
      <c r="J45" s="34" t="str">
        <f aca="false">IFERROR(IF(ISNUMBER(SEARCH(Assumptions!$C$5,D45)),Assumptions!$D$5,IF(ISNUMBER(SEARCH(Assumptions!$C$6,D45)),Assumptions!$D$6,IF(ISNUMBER(SEARCH(Assumptions!$C$7,D45)),Assumptions!$D$7,"Other Services"))),"Other Services")</f>
        <v>Development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B5EA"/>
    <pageSetUpPr fitToPage="false"/>
  </sheetPr>
  <dimension ref="A1:J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22" width="12"/>
    <col collapsed="false" customWidth="true" hidden="false" outlineLevel="0" max="3" min="3" style="22" width="10"/>
    <col collapsed="false" customWidth="true" hidden="false" outlineLevel="0" max="4" min="4" style="22" width="34"/>
    <col collapsed="false" customWidth="true" hidden="false" outlineLevel="0" max="5" min="5" style="22" width="14"/>
    <col collapsed="false" customWidth="true" hidden="false" outlineLevel="0" max="6" min="6" style="22" width="26"/>
    <col collapsed="false" customWidth="true" hidden="false" outlineLevel="0" max="7" min="7" style="22" width="30"/>
    <col collapsed="false" customWidth="true" hidden="false" outlineLevel="0" max="8" min="8" style="22" width="14"/>
    <col collapsed="false" customWidth="true" hidden="false" outlineLevel="0" max="9" min="9" style="22" width="15"/>
    <col collapsed="false" customWidth="true" hidden="false" outlineLevel="0" max="10" min="10" style="22" width="14"/>
  </cols>
  <sheetData>
    <row r="1" customFormat="false" ht="15" hidden="false" customHeight="true" outlineLevel="0" collapsed="false">
      <c r="A1" s="28" t="s">
        <v>167</v>
      </c>
    </row>
    <row r="2" customFormat="false" ht="15" hidden="false" customHeight="true" outlineLevel="0" collapsed="false">
      <c r="A2" s="29" t="s">
        <v>168</v>
      </c>
    </row>
    <row r="3" customFormat="false" ht="21.75" hidden="false" customHeight="true" outlineLevel="0" collapsed="false">
      <c r="A3" s="30" t="s">
        <v>106</v>
      </c>
      <c r="B3" s="30" t="s">
        <v>169</v>
      </c>
      <c r="C3" s="30" t="s">
        <v>170</v>
      </c>
      <c r="D3" s="30" t="s">
        <v>171</v>
      </c>
      <c r="E3" s="30" t="s">
        <v>172</v>
      </c>
      <c r="F3" s="30" t="s">
        <v>173</v>
      </c>
      <c r="G3" s="30" t="s">
        <v>108</v>
      </c>
      <c r="H3" s="30" t="s">
        <v>174</v>
      </c>
      <c r="I3" s="30" t="s">
        <v>114</v>
      </c>
      <c r="J3" s="30" t="s">
        <v>115</v>
      </c>
    </row>
    <row r="4" customFormat="false" ht="15" hidden="false" customHeight="true" outlineLevel="0" collapsed="false">
      <c r="A4" s="31" t="n">
        <v>46115</v>
      </c>
      <c r="B4" s="31" t="n">
        <v>46145</v>
      </c>
      <c r="C4" s="32" t="s">
        <v>175</v>
      </c>
      <c r="D4" s="32" t="s">
        <v>148</v>
      </c>
      <c r="E4" s="34" t="str">
        <f aca="false">IFERROR(VLOOKUP(D4,Assumptions!$G$5:$H$16,2,0),"Other")</f>
        <v>UAE</v>
      </c>
      <c r="F4" s="32" t="s">
        <v>134</v>
      </c>
      <c r="G4" s="32" t="s">
        <v>176</v>
      </c>
      <c r="H4" s="33" t="n">
        <v>31821.05</v>
      </c>
      <c r="I4" s="32" t="s">
        <v>177</v>
      </c>
      <c r="J4" s="34" t="str">
        <f aca="false">IFERROR(IF(ISNUMBER(SEARCH(Assumptions!$C$5,G4)),Assumptions!$D$5,IF(ISNUMBER(SEARCH(Assumptions!$C$6,G4)),Assumptions!$D$6,IF(ISNUMBER(SEARCH(Assumptions!$C$7,G4)),Assumptions!$D$7,"Other Services"))),"Other Services")</f>
        <v>Subscription</v>
      </c>
    </row>
    <row r="5" customFormat="false" ht="15" hidden="false" customHeight="true" outlineLevel="0" collapsed="false">
      <c r="A5" s="31" t="n">
        <v>46130</v>
      </c>
      <c r="B5" s="31" t="n">
        <v>46160</v>
      </c>
      <c r="C5" s="32" t="s">
        <v>175</v>
      </c>
      <c r="D5" s="32" t="s">
        <v>178</v>
      </c>
      <c r="E5" s="34" t="str">
        <f aca="false">IFERROR(VLOOKUP(D5,Assumptions!$G$5:$H$16,2,0),"Other")</f>
        <v>Kuwait</v>
      </c>
      <c r="F5" s="32" t="s">
        <v>141</v>
      </c>
      <c r="G5" s="32" t="s">
        <v>179</v>
      </c>
      <c r="H5" s="33" t="n">
        <v>9674.09</v>
      </c>
      <c r="I5" s="32" t="s">
        <v>177</v>
      </c>
      <c r="J5" s="34" t="str">
        <f aca="false">IFERROR(IF(ISNUMBER(SEARCH(Assumptions!$C$5,G5)),Assumptions!$D$5,IF(ISNUMBER(SEARCH(Assumptions!$C$6,G5)),Assumptions!$D$6,IF(ISNUMBER(SEARCH(Assumptions!$C$7,G5)),Assumptions!$D$7,"Other Services"))),"Other Services")</f>
        <v>WhatsApp</v>
      </c>
    </row>
    <row r="6" customFormat="false" ht="15" hidden="false" customHeight="true" outlineLevel="0" collapsed="false">
      <c r="A6" s="31" t="n">
        <v>46128</v>
      </c>
      <c r="B6" s="31" t="n">
        <v>46158</v>
      </c>
      <c r="C6" s="32" t="s">
        <v>175</v>
      </c>
      <c r="D6" s="32" t="s">
        <v>136</v>
      </c>
      <c r="E6" s="34" t="str">
        <f aca="false">IFERROR(VLOOKUP(D6,Assumptions!$G$5:$H$16,2,0),"Other")</f>
        <v>UAE</v>
      </c>
      <c r="F6" s="32" t="s">
        <v>126</v>
      </c>
      <c r="G6" s="32" t="s">
        <v>180</v>
      </c>
      <c r="H6" s="33" t="n">
        <v>16093.84</v>
      </c>
      <c r="I6" s="32" t="s">
        <v>181</v>
      </c>
      <c r="J6" s="34" t="str">
        <f aca="false">IFERROR(IF(ISNUMBER(SEARCH(Assumptions!$C$5,G6)),Assumptions!$D$5,IF(ISNUMBER(SEARCH(Assumptions!$C$6,G6)),Assumptions!$D$6,IF(ISNUMBER(SEARCH(Assumptions!$C$7,G6)),Assumptions!$D$7,"Other Services"))),"Other Services")</f>
        <v>Development</v>
      </c>
    </row>
    <row r="7" customFormat="false" ht="15" hidden="false" customHeight="true" outlineLevel="0" collapsed="false">
      <c r="A7" s="31" t="n">
        <v>46116</v>
      </c>
      <c r="B7" s="31" t="n">
        <v>46146</v>
      </c>
      <c r="C7" s="32" t="s">
        <v>175</v>
      </c>
      <c r="D7" s="32" t="s">
        <v>158</v>
      </c>
      <c r="E7" s="34" t="str">
        <f aca="false">IFERROR(VLOOKUP(D7,Assumptions!$G$5:$H$16,2,0),"Other")</f>
        <v>Singapore</v>
      </c>
      <c r="F7" s="32" t="s">
        <v>141</v>
      </c>
      <c r="G7" s="32" t="s">
        <v>179</v>
      </c>
      <c r="H7" s="33" t="n">
        <v>7621.99</v>
      </c>
      <c r="I7" s="32" t="s">
        <v>181</v>
      </c>
      <c r="J7" s="34" t="str">
        <f aca="false">IFERROR(IF(ISNUMBER(SEARCH(Assumptions!$C$5,G7)),Assumptions!$D$5,IF(ISNUMBER(SEARCH(Assumptions!$C$6,G7)),Assumptions!$D$6,IF(ISNUMBER(SEARCH(Assumptions!$C$7,G7)),Assumptions!$D$7,"Other Services"))),"Other Services")</f>
        <v>WhatsApp</v>
      </c>
    </row>
    <row r="8" customFormat="false" ht="15" hidden="false" customHeight="true" outlineLevel="0" collapsed="false">
      <c r="A8" s="31" t="n">
        <v>46127</v>
      </c>
      <c r="B8" s="31" t="n">
        <v>46157</v>
      </c>
      <c r="C8" s="32" t="s">
        <v>175</v>
      </c>
      <c r="D8" s="32" t="s">
        <v>158</v>
      </c>
      <c r="E8" s="34" t="str">
        <f aca="false">IFERROR(VLOOKUP(D8,Assumptions!$G$5:$H$16,2,0),"Other")</f>
        <v>Singapore</v>
      </c>
      <c r="F8" s="32" t="s">
        <v>139</v>
      </c>
      <c r="G8" s="32" t="s">
        <v>182</v>
      </c>
      <c r="H8" s="33" t="n">
        <v>52102.53</v>
      </c>
      <c r="I8" s="32" t="s">
        <v>183</v>
      </c>
      <c r="J8" s="34" t="str">
        <f aca="false">IFERROR(IF(ISNUMBER(SEARCH(Assumptions!$C$5,G8)),Assumptions!$D$5,IF(ISNUMBER(SEARCH(Assumptions!$C$6,G8)),Assumptions!$D$6,IF(ISNUMBER(SEARCH(Assumptions!$C$7,G8)),Assumptions!$D$7,"Other Services"))),"Other Services")</f>
        <v>Subscription</v>
      </c>
    </row>
    <row r="9" customFormat="false" ht="15" hidden="false" customHeight="true" outlineLevel="0" collapsed="false">
      <c r="A9" s="31" t="n">
        <v>46116</v>
      </c>
      <c r="B9" s="31" t="n">
        <v>46146</v>
      </c>
      <c r="C9" s="32" t="s">
        <v>175</v>
      </c>
      <c r="D9" s="32" t="s">
        <v>116</v>
      </c>
      <c r="E9" s="34" t="str">
        <f aca="false">IFERROR(VLOOKUP(D9,Assumptions!$G$5:$H$16,2,0),"Other")</f>
        <v>Saudi Arabia</v>
      </c>
      <c r="F9" s="32" t="s">
        <v>123</v>
      </c>
      <c r="G9" s="32" t="s">
        <v>184</v>
      </c>
      <c r="H9" s="33" t="n">
        <v>5515.54</v>
      </c>
      <c r="I9" s="32" t="s">
        <v>183</v>
      </c>
      <c r="J9" s="34" t="str">
        <f aca="false">IFERROR(IF(ISNUMBER(SEARCH(Assumptions!$C$5,G9)),Assumptions!$D$5,IF(ISNUMBER(SEARCH(Assumptions!$C$6,G9)),Assumptions!$D$6,IF(ISNUMBER(SEARCH(Assumptions!$C$7,G9)),Assumptions!$D$7,"Other Services"))),"Other Services")</f>
        <v>Development</v>
      </c>
    </row>
    <row r="10" customFormat="false" ht="15" hidden="false" customHeight="true" outlineLevel="0" collapsed="false">
      <c r="A10" s="31" t="n">
        <v>46119</v>
      </c>
      <c r="B10" s="31" t="n">
        <v>46149</v>
      </c>
      <c r="C10" s="32" t="s">
        <v>175</v>
      </c>
      <c r="D10" s="32" t="s">
        <v>124</v>
      </c>
      <c r="E10" s="34" t="str">
        <f aca="false">IFERROR(VLOOKUP(D10,Assumptions!$G$5:$H$16,2,0),"Other")</f>
        <v>UAE</v>
      </c>
      <c r="F10" s="32" t="s">
        <v>141</v>
      </c>
      <c r="G10" s="32" t="s">
        <v>179</v>
      </c>
      <c r="H10" s="33" t="n">
        <v>13032.12</v>
      </c>
      <c r="I10" s="32" t="s">
        <v>177</v>
      </c>
      <c r="J10" s="34" t="str">
        <f aca="false">IFERROR(IF(ISNUMBER(SEARCH(Assumptions!$C$5,G10)),Assumptions!$D$5,IF(ISNUMBER(SEARCH(Assumptions!$C$6,G10)),Assumptions!$D$6,IF(ISNUMBER(SEARCH(Assumptions!$C$7,G10)),Assumptions!$D$7,"Other Services"))),"Other Services")</f>
        <v>WhatsApp</v>
      </c>
    </row>
    <row r="11" customFormat="false" ht="15" hidden="false" customHeight="true" outlineLevel="0" collapsed="false">
      <c r="A11" s="31" t="n">
        <v>46121</v>
      </c>
      <c r="B11" s="31" t="n">
        <v>46151</v>
      </c>
      <c r="C11" s="32" t="s">
        <v>175</v>
      </c>
      <c r="D11" s="32" t="s">
        <v>158</v>
      </c>
      <c r="E11" s="34" t="str">
        <f aca="false">IFERROR(VLOOKUP(D11,Assumptions!$G$5:$H$16,2,0),"Other")</f>
        <v>Singapore</v>
      </c>
      <c r="F11" s="32" t="s">
        <v>141</v>
      </c>
      <c r="G11" s="32" t="s">
        <v>179</v>
      </c>
      <c r="H11" s="33" t="n">
        <v>28832.43</v>
      </c>
      <c r="I11" s="32" t="s">
        <v>181</v>
      </c>
      <c r="J11" s="34" t="str">
        <f aca="false">IFERROR(IF(ISNUMBER(SEARCH(Assumptions!$C$5,G11)),Assumptions!$D$5,IF(ISNUMBER(SEARCH(Assumptions!$C$6,G11)),Assumptions!$D$6,IF(ISNUMBER(SEARCH(Assumptions!$C$7,G11)),Assumptions!$D$7,"Other Services"))),"Other Services")</f>
        <v>WhatsApp</v>
      </c>
    </row>
    <row r="12" customFormat="false" ht="15" hidden="false" customHeight="true" outlineLevel="0" collapsed="false">
      <c r="A12" s="31" t="n">
        <v>46127</v>
      </c>
      <c r="B12" s="31" t="n">
        <v>46127</v>
      </c>
      <c r="C12" s="32" t="s">
        <v>185</v>
      </c>
      <c r="D12" s="32" t="s">
        <v>186</v>
      </c>
      <c r="E12" s="34" t="str">
        <f aca="false">IFERROR(VLOOKUP(D12,Assumptions!$G$5:$H$16,2,0),"Other")</f>
        <v>Other</v>
      </c>
      <c r="F12" s="32" t="s">
        <v>186</v>
      </c>
      <c r="G12" s="32" t="s">
        <v>187</v>
      </c>
      <c r="H12" s="33" t="n">
        <v>20296.54</v>
      </c>
      <c r="I12" s="32" t="s">
        <v>120</v>
      </c>
      <c r="J12" s="34" t="str">
        <f aca="false">IFERROR(IF(ISNUMBER(SEARCH(Assumptions!$C$5,G12)),Assumptions!$D$5,IF(ISNUMBER(SEARCH(Assumptions!$C$6,G12)),Assumptions!$D$6,IF(ISNUMBER(SEARCH(Assumptions!$C$7,G12)),Assumptions!$D$7,"Other Services"))),"Other Services")</f>
        <v>Other Services</v>
      </c>
    </row>
    <row r="13" customFormat="false" ht="15" hidden="false" customHeight="true" outlineLevel="0" collapsed="false">
      <c r="A13" s="31" t="n">
        <v>46116</v>
      </c>
      <c r="B13" s="31" t="n">
        <v>46116</v>
      </c>
      <c r="C13" s="32" t="s">
        <v>185</v>
      </c>
      <c r="D13" s="32" t="s">
        <v>188</v>
      </c>
      <c r="E13" s="34" t="str">
        <f aca="false">IFERROR(VLOOKUP(D13,Assumptions!$G$5:$H$16,2,0),"Other")</f>
        <v>Other</v>
      </c>
      <c r="F13" s="32" t="s">
        <v>188</v>
      </c>
      <c r="G13" s="32" t="s">
        <v>189</v>
      </c>
      <c r="H13" s="33" t="n">
        <v>1739.41</v>
      </c>
      <c r="I13" s="32" t="s">
        <v>120</v>
      </c>
      <c r="J13" s="34" t="str">
        <f aca="false">IFERROR(IF(ISNUMBER(SEARCH(Assumptions!$C$5,G13)),Assumptions!$D$5,IF(ISNUMBER(SEARCH(Assumptions!$C$6,G13)),Assumptions!$D$6,IF(ISNUMBER(SEARCH(Assumptions!$C$7,G13)),Assumptions!$D$7,"Other Services"))),"Other Services")</f>
        <v>Other Services</v>
      </c>
    </row>
    <row r="14" customFormat="false" ht="15" hidden="false" customHeight="true" outlineLevel="0" collapsed="false">
      <c r="A14" s="31" t="n">
        <v>46113</v>
      </c>
      <c r="B14" s="31" t="n">
        <v>46113</v>
      </c>
      <c r="C14" s="32" t="s">
        <v>185</v>
      </c>
      <c r="D14" s="32" t="s">
        <v>188</v>
      </c>
      <c r="E14" s="34" t="str">
        <f aca="false">IFERROR(VLOOKUP(D14,Assumptions!$G$5:$H$16,2,0),"Other")</f>
        <v>Other</v>
      </c>
      <c r="F14" s="32" t="s">
        <v>188</v>
      </c>
      <c r="G14" s="32" t="s">
        <v>189</v>
      </c>
      <c r="H14" s="33" t="n">
        <v>24240.41</v>
      </c>
      <c r="I14" s="32" t="s">
        <v>120</v>
      </c>
      <c r="J14" s="34" t="str">
        <f aca="false">IFERROR(IF(ISNUMBER(SEARCH(Assumptions!$C$5,G14)),Assumptions!$D$5,IF(ISNUMBER(SEARCH(Assumptions!$C$6,G14)),Assumptions!$D$6,IF(ISNUMBER(SEARCH(Assumptions!$C$7,G14)),Assumptions!$D$7,"Other Services"))),"Other Services")</f>
        <v>Other Services</v>
      </c>
    </row>
    <row r="15" customFormat="false" ht="15" hidden="false" customHeight="true" outlineLevel="0" collapsed="false">
      <c r="A15" s="31" t="n">
        <v>46118</v>
      </c>
      <c r="B15" s="31" t="n">
        <v>46118</v>
      </c>
      <c r="C15" s="32" t="s">
        <v>185</v>
      </c>
      <c r="D15" s="32" t="s">
        <v>190</v>
      </c>
      <c r="E15" s="34" t="str">
        <f aca="false">IFERROR(VLOOKUP(D15,Assumptions!$G$5:$H$16,2,0),"Other")</f>
        <v>Other</v>
      </c>
      <c r="F15" s="32" t="s">
        <v>190</v>
      </c>
      <c r="G15" s="32" t="s">
        <v>191</v>
      </c>
      <c r="H15" s="33" t="n">
        <v>10457.14</v>
      </c>
      <c r="I15" s="32" t="s">
        <v>120</v>
      </c>
      <c r="J15" s="34" t="str">
        <f aca="false">IFERROR(IF(ISNUMBER(SEARCH(Assumptions!$C$5,G15)),Assumptions!$D$5,IF(ISNUMBER(SEARCH(Assumptions!$C$6,G15)),Assumptions!$D$6,IF(ISNUMBER(SEARCH(Assumptions!$C$7,G15)),Assumptions!$D$7,"Other Services"))),"Other Services")</f>
        <v>Other Services</v>
      </c>
    </row>
    <row r="16" customFormat="false" ht="15" hidden="false" customHeight="true" outlineLevel="0" collapsed="false">
      <c r="A16" s="31" t="n">
        <v>46119</v>
      </c>
      <c r="B16" s="31" t="n">
        <v>46119</v>
      </c>
      <c r="C16" s="32" t="s">
        <v>185</v>
      </c>
      <c r="D16" s="32" t="s">
        <v>192</v>
      </c>
      <c r="E16" s="34" t="str">
        <f aca="false">IFERROR(VLOOKUP(D16,Assumptions!$G$5:$H$16,2,0),"Other")</f>
        <v>Other</v>
      </c>
      <c r="F16" s="32" t="s">
        <v>192</v>
      </c>
      <c r="G16" s="32" t="s">
        <v>193</v>
      </c>
      <c r="H16" s="33" t="n">
        <v>21683.93</v>
      </c>
      <c r="I16" s="32" t="s">
        <v>120</v>
      </c>
      <c r="J16" s="34" t="str">
        <f aca="false">IFERROR(IF(ISNUMBER(SEARCH(Assumptions!$C$5,G16)),Assumptions!$D$5,IF(ISNUMBER(SEARCH(Assumptions!$C$6,G16)),Assumptions!$D$6,IF(ISNUMBER(SEARCH(Assumptions!$C$7,G16)),Assumptions!$D$7,"Other Services"))),"Other Services")</f>
        <v>Other Services</v>
      </c>
    </row>
    <row r="17" customFormat="false" ht="15" hidden="false" customHeight="true" outlineLevel="0" collapsed="false">
      <c r="A17" s="31" t="n">
        <v>46155</v>
      </c>
      <c r="B17" s="31" t="n">
        <v>46185</v>
      </c>
      <c r="C17" s="32" t="s">
        <v>175</v>
      </c>
      <c r="D17" s="32" t="s">
        <v>148</v>
      </c>
      <c r="E17" s="34" t="str">
        <f aca="false">IFERROR(VLOOKUP(D17,Assumptions!$G$5:$H$16,2,0),"Other")</f>
        <v>UAE</v>
      </c>
      <c r="F17" s="32" t="s">
        <v>141</v>
      </c>
      <c r="G17" s="32" t="s">
        <v>194</v>
      </c>
      <c r="H17" s="33" t="n">
        <v>2125.01</v>
      </c>
      <c r="I17" s="32" t="s">
        <v>120</v>
      </c>
      <c r="J17" s="34" t="str">
        <f aca="false">IFERROR(IF(ISNUMBER(SEARCH(Assumptions!$C$5,G17)),Assumptions!$D$5,IF(ISNUMBER(SEARCH(Assumptions!$C$6,G17)),Assumptions!$D$6,IF(ISNUMBER(SEARCH(Assumptions!$C$7,G17)),Assumptions!$D$7,"Other Services"))),"Other Services")</f>
        <v>WhatsApp</v>
      </c>
    </row>
    <row r="18" customFormat="false" ht="15" hidden="false" customHeight="true" outlineLevel="0" collapsed="false">
      <c r="A18" s="31" t="n">
        <v>46156</v>
      </c>
      <c r="B18" s="31" t="n">
        <v>46186</v>
      </c>
      <c r="C18" s="32" t="s">
        <v>175</v>
      </c>
      <c r="D18" s="32" t="s">
        <v>178</v>
      </c>
      <c r="E18" s="34" t="str">
        <f aca="false">IFERROR(VLOOKUP(D18,Assumptions!$G$5:$H$16,2,0),"Other")</f>
        <v>Kuwait</v>
      </c>
      <c r="F18" s="32" t="s">
        <v>134</v>
      </c>
      <c r="G18" s="32" t="s">
        <v>195</v>
      </c>
      <c r="H18" s="33" t="n">
        <v>42402.31</v>
      </c>
      <c r="I18" s="32" t="s">
        <v>196</v>
      </c>
      <c r="J18" s="34" t="str">
        <f aca="false">IFERROR(IF(ISNUMBER(SEARCH(Assumptions!$C$5,G18)),Assumptions!$D$5,IF(ISNUMBER(SEARCH(Assumptions!$C$6,G18)),Assumptions!$D$6,IF(ISNUMBER(SEARCH(Assumptions!$C$7,G18)),Assumptions!$D$7,"Other Services"))),"Other Services")</f>
        <v>Subscription</v>
      </c>
    </row>
    <row r="19" customFormat="false" ht="15" hidden="false" customHeight="true" outlineLevel="0" collapsed="false">
      <c r="A19" s="31" t="n">
        <v>46158</v>
      </c>
      <c r="B19" s="31" t="n">
        <v>46188</v>
      </c>
      <c r="C19" s="32" t="s">
        <v>175</v>
      </c>
      <c r="D19" s="32" t="s">
        <v>146</v>
      </c>
      <c r="E19" s="34" t="str">
        <f aca="false">IFERROR(VLOOKUP(D19,Assumptions!$G$5:$H$16,2,0),"Other")</f>
        <v>Pakistan</v>
      </c>
      <c r="F19" s="32" t="s">
        <v>123</v>
      </c>
      <c r="G19" s="32" t="s">
        <v>197</v>
      </c>
      <c r="H19" s="33" t="n">
        <v>10978.22</v>
      </c>
      <c r="I19" s="32" t="s">
        <v>120</v>
      </c>
      <c r="J19" s="34" t="str">
        <f aca="false">IFERROR(IF(ISNUMBER(SEARCH(Assumptions!$C$5,G19)),Assumptions!$D$5,IF(ISNUMBER(SEARCH(Assumptions!$C$6,G19)),Assumptions!$D$6,IF(ISNUMBER(SEARCH(Assumptions!$C$7,G19)),Assumptions!$D$7,"Other Services"))),"Other Services")</f>
        <v>Development</v>
      </c>
    </row>
    <row r="20" customFormat="false" ht="15" hidden="false" customHeight="true" outlineLevel="0" collapsed="false">
      <c r="A20" s="31" t="n">
        <v>46160</v>
      </c>
      <c r="B20" s="31" t="n">
        <v>46190</v>
      </c>
      <c r="C20" s="32" t="s">
        <v>175</v>
      </c>
      <c r="D20" s="32" t="s">
        <v>148</v>
      </c>
      <c r="E20" s="34" t="str">
        <f aca="false">IFERROR(VLOOKUP(D20,Assumptions!$G$5:$H$16,2,0),"Other")</f>
        <v>UAE</v>
      </c>
      <c r="F20" s="32" t="s">
        <v>126</v>
      </c>
      <c r="G20" s="32" t="s">
        <v>198</v>
      </c>
      <c r="H20" s="33" t="n">
        <v>5535.54</v>
      </c>
      <c r="I20" s="32" t="s">
        <v>120</v>
      </c>
      <c r="J20" s="34" t="str">
        <f aca="false">IFERROR(IF(ISNUMBER(SEARCH(Assumptions!$C$5,G20)),Assumptions!$D$5,IF(ISNUMBER(SEARCH(Assumptions!$C$6,G20)),Assumptions!$D$6,IF(ISNUMBER(SEARCH(Assumptions!$C$7,G20)),Assumptions!$D$7,"Other Services"))),"Other Services")</f>
        <v>Development</v>
      </c>
    </row>
    <row r="21" customFormat="false" ht="15" hidden="false" customHeight="true" outlineLevel="0" collapsed="false">
      <c r="A21" s="31" t="n">
        <v>46158</v>
      </c>
      <c r="B21" s="31" t="n">
        <v>46188</v>
      </c>
      <c r="C21" s="32" t="s">
        <v>175</v>
      </c>
      <c r="D21" s="32" t="s">
        <v>148</v>
      </c>
      <c r="E21" s="34" t="str">
        <f aca="false">IFERROR(VLOOKUP(D21,Assumptions!$G$5:$H$16,2,0),"Other")</f>
        <v>UAE</v>
      </c>
      <c r="F21" s="32" t="s">
        <v>126</v>
      </c>
      <c r="G21" s="32" t="s">
        <v>198</v>
      </c>
      <c r="H21" s="33" t="n">
        <v>31165.32</v>
      </c>
      <c r="I21" s="32" t="s">
        <v>199</v>
      </c>
      <c r="J21" s="34" t="str">
        <f aca="false">IFERROR(IF(ISNUMBER(SEARCH(Assumptions!$C$5,G21)),Assumptions!$D$5,IF(ISNUMBER(SEARCH(Assumptions!$C$6,G21)),Assumptions!$D$6,IF(ISNUMBER(SEARCH(Assumptions!$C$7,G21)),Assumptions!$D$7,"Other Services"))),"Other Services")</f>
        <v>Development</v>
      </c>
    </row>
    <row r="22" customFormat="false" ht="15" hidden="false" customHeight="true" outlineLevel="0" collapsed="false">
      <c r="A22" s="31" t="n">
        <v>46159</v>
      </c>
      <c r="B22" s="31" t="n">
        <v>46189</v>
      </c>
      <c r="C22" s="32" t="s">
        <v>175</v>
      </c>
      <c r="D22" s="32" t="s">
        <v>121</v>
      </c>
      <c r="E22" s="34" t="str">
        <f aca="false">IFERROR(VLOOKUP(D22,Assumptions!$G$5:$H$16,2,0),"Other")</f>
        <v>Saudi Arabia</v>
      </c>
      <c r="F22" s="32" t="s">
        <v>118</v>
      </c>
      <c r="G22" s="32" t="s">
        <v>200</v>
      </c>
      <c r="H22" s="33" t="n">
        <v>6646.46</v>
      </c>
      <c r="I22" s="32" t="s">
        <v>120</v>
      </c>
      <c r="J22" s="34" t="str">
        <f aca="false">IFERROR(IF(ISNUMBER(SEARCH(Assumptions!$C$5,G22)),Assumptions!$D$5,IF(ISNUMBER(SEARCH(Assumptions!$C$6,G22)),Assumptions!$D$6,IF(ISNUMBER(SEARCH(Assumptions!$C$7,G22)),Assumptions!$D$7,"Other Services"))),"Other Services")</f>
        <v>WhatsApp</v>
      </c>
    </row>
    <row r="23" customFormat="false" ht="15" hidden="false" customHeight="true" outlineLevel="0" collapsed="false">
      <c r="A23" s="31" t="n">
        <v>46150</v>
      </c>
      <c r="B23" s="31" t="n">
        <v>46180</v>
      </c>
      <c r="C23" s="32" t="s">
        <v>175</v>
      </c>
      <c r="D23" s="32" t="s">
        <v>136</v>
      </c>
      <c r="E23" s="34" t="str">
        <f aca="false">IFERROR(VLOOKUP(D23,Assumptions!$G$5:$H$16,2,0),"Other")</f>
        <v>UAE</v>
      </c>
      <c r="F23" s="32" t="s">
        <v>118</v>
      </c>
      <c r="G23" s="32" t="s">
        <v>200</v>
      </c>
      <c r="H23" s="33" t="n">
        <v>25418.98</v>
      </c>
      <c r="I23" s="32" t="s">
        <v>199</v>
      </c>
      <c r="J23" s="34" t="str">
        <f aca="false">IFERROR(IF(ISNUMBER(SEARCH(Assumptions!$C$5,G23)),Assumptions!$D$5,IF(ISNUMBER(SEARCH(Assumptions!$C$6,G23)),Assumptions!$D$6,IF(ISNUMBER(SEARCH(Assumptions!$C$7,G23)),Assumptions!$D$7,"Other Services"))),"Other Services")</f>
        <v>WhatsApp</v>
      </c>
    </row>
    <row r="24" customFormat="false" ht="15" hidden="false" customHeight="true" outlineLevel="0" collapsed="false">
      <c r="A24" s="31" t="n">
        <v>46161</v>
      </c>
      <c r="B24" s="31" t="n">
        <v>46191</v>
      </c>
      <c r="C24" s="32" t="s">
        <v>175</v>
      </c>
      <c r="D24" s="32" t="s">
        <v>136</v>
      </c>
      <c r="E24" s="34" t="str">
        <f aca="false">IFERROR(VLOOKUP(D24,Assumptions!$G$5:$H$16,2,0),"Other")</f>
        <v>UAE</v>
      </c>
      <c r="F24" s="32" t="s">
        <v>141</v>
      </c>
      <c r="G24" s="32" t="s">
        <v>194</v>
      </c>
      <c r="H24" s="33" t="n">
        <v>36482.11</v>
      </c>
      <c r="I24" s="32" t="s">
        <v>196</v>
      </c>
      <c r="J24" s="34" t="str">
        <f aca="false">IFERROR(IF(ISNUMBER(SEARCH(Assumptions!$C$5,G24)),Assumptions!$D$5,IF(ISNUMBER(SEARCH(Assumptions!$C$6,G24)),Assumptions!$D$6,IF(ISNUMBER(SEARCH(Assumptions!$C$7,G24)),Assumptions!$D$7,"Other Services"))),"Other Services")</f>
        <v>WhatsApp</v>
      </c>
    </row>
    <row r="25" customFormat="false" ht="15" hidden="false" customHeight="true" outlineLevel="0" collapsed="false">
      <c r="A25" s="31" t="n">
        <v>46164</v>
      </c>
      <c r="B25" s="31" t="n">
        <v>46164</v>
      </c>
      <c r="C25" s="32" t="s">
        <v>185</v>
      </c>
      <c r="D25" s="32" t="s">
        <v>192</v>
      </c>
      <c r="E25" s="34" t="str">
        <f aca="false">IFERROR(VLOOKUP(D25,Assumptions!$G$5:$H$16,2,0),"Other")</f>
        <v>Other</v>
      </c>
      <c r="F25" s="32" t="s">
        <v>192</v>
      </c>
      <c r="G25" s="32" t="s">
        <v>201</v>
      </c>
      <c r="H25" s="33" t="n">
        <v>14799.97</v>
      </c>
      <c r="I25" s="32" t="s">
        <v>120</v>
      </c>
      <c r="J25" s="34" t="str">
        <f aca="false">IFERROR(IF(ISNUMBER(SEARCH(Assumptions!$C$5,G25)),Assumptions!$D$5,IF(ISNUMBER(SEARCH(Assumptions!$C$6,G25)),Assumptions!$D$6,IF(ISNUMBER(SEARCH(Assumptions!$C$7,G25)),Assumptions!$D$7,"Other Services"))),"Other Services")</f>
        <v>Other Services</v>
      </c>
    </row>
    <row r="26" customFormat="false" ht="15" hidden="false" customHeight="true" outlineLevel="0" collapsed="false">
      <c r="A26" s="31" t="n">
        <v>46153</v>
      </c>
      <c r="B26" s="31" t="n">
        <v>46153</v>
      </c>
      <c r="C26" s="32" t="s">
        <v>185</v>
      </c>
      <c r="D26" s="32" t="s">
        <v>188</v>
      </c>
      <c r="E26" s="34" t="str">
        <f aca="false">IFERROR(VLOOKUP(D26,Assumptions!$G$5:$H$16,2,0),"Other")</f>
        <v>Other</v>
      </c>
      <c r="F26" s="32" t="s">
        <v>188</v>
      </c>
      <c r="G26" s="32" t="s">
        <v>202</v>
      </c>
      <c r="H26" s="33" t="n">
        <v>23400.3</v>
      </c>
      <c r="I26" s="32" t="s">
        <v>120</v>
      </c>
      <c r="J26" s="34" t="str">
        <f aca="false">IFERROR(IF(ISNUMBER(SEARCH(Assumptions!$C$5,G26)),Assumptions!$D$5,IF(ISNUMBER(SEARCH(Assumptions!$C$6,G26)),Assumptions!$D$6,IF(ISNUMBER(SEARCH(Assumptions!$C$7,G26)),Assumptions!$D$7,"Other Services"))),"Other Services")</f>
        <v>Other Services</v>
      </c>
    </row>
    <row r="27" customFormat="false" ht="15" hidden="false" customHeight="true" outlineLevel="0" collapsed="false">
      <c r="A27" s="31" t="n">
        <v>46164</v>
      </c>
      <c r="B27" s="31" t="n">
        <v>46164</v>
      </c>
      <c r="C27" s="32" t="s">
        <v>185</v>
      </c>
      <c r="D27" s="32" t="s">
        <v>190</v>
      </c>
      <c r="E27" s="34" t="str">
        <f aca="false">IFERROR(VLOOKUP(D27,Assumptions!$G$5:$H$16,2,0),"Other")</f>
        <v>Other</v>
      </c>
      <c r="F27" s="32" t="s">
        <v>190</v>
      </c>
      <c r="G27" s="32" t="s">
        <v>203</v>
      </c>
      <c r="H27" s="33" t="n">
        <v>18046.7</v>
      </c>
      <c r="I27" s="32" t="s">
        <v>120</v>
      </c>
      <c r="J27" s="34" t="str">
        <f aca="false">IFERROR(IF(ISNUMBER(SEARCH(Assumptions!$C$5,G27)),Assumptions!$D$5,IF(ISNUMBER(SEARCH(Assumptions!$C$6,G27)),Assumptions!$D$6,IF(ISNUMBER(SEARCH(Assumptions!$C$7,G27)),Assumptions!$D$7,"Other Services"))),"Other Services")</f>
        <v>Other Services</v>
      </c>
    </row>
    <row r="28" customFormat="false" ht="15" hidden="false" customHeight="true" outlineLevel="0" collapsed="false">
      <c r="A28" s="31" t="n">
        <v>46151</v>
      </c>
      <c r="B28" s="31" t="n">
        <v>46151</v>
      </c>
      <c r="C28" s="32" t="s">
        <v>185</v>
      </c>
      <c r="D28" s="32" t="s">
        <v>190</v>
      </c>
      <c r="E28" s="34" t="str">
        <f aca="false">IFERROR(VLOOKUP(D28,Assumptions!$G$5:$H$16,2,0),"Other")</f>
        <v>Other</v>
      </c>
      <c r="F28" s="32" t="s">
        <v>190</v>
      </c>
      <c r="G28" s="32" t="s">
        <v>203</v>
      </c>
      <c r="H28" s="33" t="n">
        <v>10196.75</v>
      </c>
      <c r="I28" s="32" t="s">
        <v>120</v>
      </c>
      <c r="J28" s="34" t="str">
        <f aca="false">IFERROR(IF(ISNUMBER(SEARCH(Assumptions!$C$5,G28)),Assumptions!$D$5,IF(ISNUMBER(SEARCH(Assumptions!$C$6,G28)),Assumptions!$D$6,IF(ISNUMBER(SEARCH(Assumptions!$C$7,G28)),Assumptions!$D$7,"Other Services"))),"Other Services")</f>
        <v>Other Services</v>
      </c>
    </row>
    <row r="29" customFormat="false" ht="15" hidden="false" customHeight="true" outlineLevel="0" collapsed="false">
      <c r="A29" s="31" t="n">
        <v>46163</v>
      </c>
      <c r="B29" s="31" t="n">
        <v>46163</v>
      </c>
      <c r="C29" s="32" t="s">
        <v>185</v>
      </c>
      <c r="D29" s="32" t="s">
        <v>204</v>
      </c>
      <c r="E29" s="34" t="str">
        <f aca="false">IFERROR(VLOOKUP(D29,Assumptions!$G$5:$H$16,2,0),"Other")</f>
        <v>Other</v>
      </c>
      <c r="F29" s="32" t="s">
        <v>204</v>
      </c>
      <c r="G29" s="32" t="s">
        <v>205</v>
      </c>
      <c r="H29" s="33" t="n">
        <v>7849.93</v>
      </c>
      <c r="I29" s="32" t="s">
        <v>120</v>
      </c>
      <c r="J29" s="34" t="str">
        <f aca="false">IFERROR(IF(ISNUMBER(SEARCH(Assumptions!$C$5,G29)),Assumptions!$D$5,IF(ISNUMBER(SEARCH(Assumptions!$C$6,G29)),Assumptions!$D$6,IF(ISNUMBER(SEARCH(Assumptions!$C$7,G29)),Assumptions!$D$7,"Other Services"))),"Other Services")</f>
        <v>Development</v>
      </c>
    </row>
    <row r="30" customFormat="false" ht="15" hidden="false" customHeight="true" outlineLevel="0" collapsed="false">
      <c r="A30" s="31" t="n">
        <v>46174</v>
      </c>
      <c r="B30" s="31" t="n">
        <v>46204</v>
      </c>
      <c r="C30" s="32" t="s">
        <v>175</v>
      </c>
      <c r="D30" s="32" t="s">
        <v>132</v>
      </c>
      <c r="E30" s="34" t="str">
        <f aca="false">IFERROR(VLOOKUP(D30,Assumptions!$G$5:$H$16,2,0),"Other")</f>
        <v>Singapore</v>
      </c>
      <c r="F30" s="32" t="s">
        <v>118</v>
      </c>
      <c r="G30" s="32" t="s">
        <v>206</v>
      </c>
      <c r="H30" s="33" t="n">
        <v>28580.56</v>
      </c>
      <c r="I30" s="32" t="s">
        <v>199</v>
      </c>
      <c r="J30" s="34" t="str">
        <f aca="false">IFERROR(IF(ISNUMBER(SEARCH(Assumptions!$C$5,G30)),Assumptions!$D$5,IF(ISNUMBER(SEARCH(Assumptions!$C$6,G30)),Assumptions!$D$6,IF(ISNUMBER(SEARCH(Assumptions!$C$7,G30)),Assumptions!$D$7,"Other Services"))),"Other Services")</f>
        <v>WhatsApp</v>
      </c>
    </row>
    <row r="31" customFormat="false" ht="15" hidden="false" customHeight="true" outlineLevel="0" collapsed="false">
      <c r="A31" s="31" t="n">
        <v>46191</v>
      </c>
      <c r="B31" s="31" t="n">
        <v>46221</v>
      </c>
      <c r="C31" s="32" t="s">
        <v>175</v>
      </c>
      <c r="D31" s="32" t="s">
        <v>124</v>
      </c>
      <c r="E31" s="34" t="str">
        <f aca="false">IFERROR(VLOOKUP(D31,Assumptions!$G$5:$H$16,2,0),"Other")</f>
        <v>UAE</v>
      </c>
      <c r="F31" s="32" t="s">
        <v>118</v>
      </c>
      <c r="G31" s="32" t="s">
        <v>206</v>
      </c>
      <c r="H31" s="33" t="n">
        <v>14362.95</v>
      </c>
      <c r="I31" s="32" t="s">
        <v>120</v>
      </c>
      <c r="J31" s="34" t="str">
        <f aca="false">IFERROR(IF(ISNUMBER(SEARCH(Assumptions!$C$5,G31)),Assumptions!$D$5,IF(ISNUMBER(SEARCH(Assumptions!$C$6,G31)),Assumptions!$D$6,IF(ISNUMBER(SEARCH(Assumptions!$C$7,G31)),Assumptions!$D$7,"Other Services"))),"Other Services")</f>
        <v>WhatsApp</v>
      </c>
    </row>
    <row r="32" customFormat="false" ht="15" hidden="false" customHeight="true" outlineLevel="0" collapsed="false">
      <c r="A32" s="31" t="n">
        <v>46181</v>
      </c>
      <c r="B32" s="31" t="n">
        <v>46211</v>
      </c>
      <c r="C32" s="32" t="s">
        <v>175</v>
      </c>
      <c r="D32" s="32" t="s">
        <v>132</v>
      </c>
      <c r="E32" s="34" t="str">
        <f aca="false">IFERROR(VLOOKUP(D32,Assumptions!$G$5:$H$16,2,0),"Other")</f>
        <v>Singapore</v>
      </c>
      <c r="F32" s="32" t="s">
        <v>118</v>
      </c>
      <c r="G32" s="32" t="s">
        <v>206</v>
      </c>
      <c r="H32" s="33" t="n">
        <v>23432.57</v>
      </c>
      <c r="I32" s="32" t="s">
        <v>120</v>
      </c>
      <c r="J32" s="34" t="str">
        <f aca="false">IFERROR(IF(ISNUMBER(SEARCH(Assumptions!$C$5,G32)),Assumptions!$D$5,IF(ISNUMBER(SEARCH(Assumptions!$C$6,G32)),Assumptions!$D$6,IF(ISNUMBER(SEARCH(Assumptions!$C$7,G32)),Assumptions!$D$7,"Other Services"))),"Other Services")</f>
        <v>WhatsApp</v>
      </c>
    </row>
    <row r="33" customFormat="false" ht="15" hidden="false" customHeight="true" outlineLevel="0" collapsed="false">
      <c r="A33" s="31" t="n">
        <v>46183</v>
      </c>
      <c r="B33" s="31" t="n">
        <v>46213</v>
      </c>
      <c r="C33" s="32" t="s">
        <v>175</v>
      </c>
      <c r="D33" s="32" t="s">
        <v>146</v>
      </c>
      <c r="E33" s="34" t="str">
        <f aca="false">IFERROR(VLOOKUP(D33,Assumptions!$G$5:$H$16,2,0),"Other")</f>
        <v>Pakistan</v>
      </c>
      <c r="F33" s="32" t="s">
        <v>123</v>
      </c>
      <c r="G33" s="32" t="s">
        <v>207</v>
      </c>
      <c r="H33" s="33" t="n">
        <v>37477.31</v>
      </c>
      <c r="I33" s="32" t="s">
        <v>199</v>
      </c>
      <c r="J33" s="34" t="str">
        <f aca="false">IFERROR(IF(ISNUMBER(SEARCH(Assumptions!$C$5,G33)),Assumptions!$D$5,IF(ISNUMBER(SEARCH(Assumptions!$C$6,G33)),Assumptions!$D$6,IF(ISNUMBER(SEARCH(Assumptions!$C$7,G33)),Assumptions!$D$7,"Other Services"))),"Other Services")</f>
        <v>Development</v>
      </c>
    </row>
    <row r="34" customFormat="false" ht="15" hidden="false" customHeight="true" outlineLevel="0" collapsed="false">
      <c r="A34" s="31" t="n">
        <v>46174</v>
      </c>
      <c r="B34" s="31" t="n">
        <v>46204</v>
      </c>
      <c r="C34" s="32" t="s">
        <v>175</v>
      </c>
      <c r="D34" s="32" t="s">
        <v>116</v>
      </c>
      <c r="E34" s="34" t="str">
        <f aca="false">IFERROR(VLOOKUP(D34,Assumptions!$G$5:$H$16,2,0),"Other")</f>
        <v>Saudi Arabia</v>
      </c>
      <c r="F34" s="32" t="s">
        <v>126</v>
      </c>
      <c r="G34" s="32" t="s">
        <v>208</v>
      </c>
      <c r="H34" s="33" t="n">
        <v>40736.07</v>
      </c>
      <c r="I34" s="32" t="s">
        <v>196</v>
      </c>
      <c r="J34" s="34" t="str">
        <f aca="false">IFERROR(IF(ISNUMBER(SEARCH(Assumptions!$C$5,G34)),Assumptions!$D$5,IF(ISNUMBER(SEARCH(Assumptions!$C$6,G34)),Assumptions!$D$6,IF(ISNUMBER(SEARCH(Assumptions!$C$7,G34)),Assumptions!$D$7,"Other Services"))),"Other Services")</f>
        <v>Development</v>
      </c>
    </row>
    <row r="35" customFormat="false" ht="15" hidden="false" customHeight="true" outlineLevel="0" collapsed="false">
      <c r="A35" s="31" t="n">
        <v>46178</v>
      </c>
      <c r="B35" s="31" t="n">
        <v>46208</v>
      </c>
      <c r="C35" s="32" t="s">
        <v>175</v>
      </c>
      <c r="D35" s="32" t="s">
        <v>116</v>
      </c>
      <c r="E35" s="34" t="str">
        <f aca="false">IFERROR(VLOOKUP(D35,Assumptions!$G$5:$H$16,2,0),"Other")</f>
        <v>Saudi Arabia</v>
      </c>
      <c r="F35" s="32" t="s">
        <v>118</v>
      </c>
      <c r="G35" s="32" t="s">
        <v>206</v>
      </c>
      <c r="H35" s="33" t="n">
        <v>17339.02</v>
      </c>
      <c r="I35" s="32" t="s">
        <v>199</v>
      </c>
      <c r="J35" s="34" t="str">
        <f aca="false">IFERROR(IF(ISNUMBER(SEARCH(Assumptions!$C$5,G35)),Assumptions!$D$5,IF(ISNUMBER(SEARCH(Assumptions!$C$6,G35)),Assumptions!$D$6,IF(ISNUMBER(SEARCH(Assumptions!$C$7,G35)),Assumptions!$D$7,"Other Services"))),"Other Services")</f>
        <v>WhatsApp</v>
      </c>
    </row>
    <row r="36" customFormat="false" ht="15" hidden="false" customHeight="true" outlineLevel="0" collapsed="false">
      <c r="A36" s="31" t="n">
        <v>46178</v>
      </c>
      <c r="B36" s="31" t="n">
        <v>46208</v>
      </c>
      <c r="C36" s="32" t="s">
        <v>175</v>
      </c>
      <c r="D36" s="32" t="s">
        <v>144</v>
      </c>
      <c r="E36" s="34" t="str">
        <f aca="false">IFERROR(VLOOKUP(D36,Assumptions!$G$5:$H$16,2,0),"Other")</f>
        <v>Pakistan</v>
      </c>
      <c r="F36" s="32" t="s">
        <v>126</v>
      </c>
      <c r="G36" s="32" t="s">
        <v>208</v>
      </c>
      <c r="H36" s="33" t="n">
        <v>17796.2</v>
      </c>
      <c r="I36" s="32" t="s">
        <v>196</v>
      </c>
      <c r="J36" s="34" t="str">
        <f aca="false">IFERROR(IF(ISNUMBER(SEARCH(Assumptions!$C$5,G36)),Assumptions!$D$5,IF(ISNUMBER(SEARCH(Assumptions!$C$6,G36)),Assumptions!$D$6,IF(ISNUMBER(SEARCH(Assumptions!$C$7,G36)),Assumptions!$D$7,"Other Services"))),"Other Services")</f>
        <v>Development</v>
      </c>
    </row>
    <row r="37" customFormat="false" ht="15" hidden="false" customHeight="true" outlineLevel="0" collapsed="false">
      <c r="A37" s="31" t="n">
        <v>46180</v>
      </c>
      <c r="B37" s="31" t="n">
        <v>46210</v>
      </c>
      <c r="C37" s="32" t="s">
        <v>175</v>
      </c>
      <c r="D37" s="32" t="s">
        <v>144</v>
      </c>
      <c r="E37" s="34" t="str">
        <f aca="false">IFERROR(VLOOKUP(D37,Assumptions!$G$5:$H$16,2,0),"Other")</f>
        <v>Pakistan</v>
      </c>
      <c r="F37" s="32" t="s">
        <v>134</v>
      </c>
      <c r="G37" s="32" t="s">
        <v>209</v>
      </c>
      <c r="H37" s="33" t="n">
        <v>41874.83</v>
      </c>
      <c r="I37" s="32" t="s">
        <v>199</v>
      </c>
      <c r="J37" s="34" t="str">
        <f aca="false">IFERROR(IF(ISNUMBER(SEARCH(Assumptions!$C$5,G37)),Assumptions!$D$5,IF(ISNUMBER(SEARCH(Assumptions!$C$6,G37)),Assumptions!$D$6,IF(ISNUMBER(SEARCH(Assumptions!$C$7,G37)),Assumptions!$D$7,"Other Services"))),"Other Services")</f>
        <v>Subscription</v>
      </c>
    </row>
    <row r="38" customFormat="false" ht="15" hidden="false" customHeight="true" outlineLevel="0" collapsed="false">
      <c r="A38" s="31" t="n">
        <v>46189</v>
      </c>
      <c r="B38" s="31" t="n">
        <v>46189</v>
      </c>
      <c r="C38" s="32" t="s">
        <v>185</v>
      </c>
      <c r="D38" s="32" t="s">
        <v>188</v>
      </c>
      <c r="E38" s="34" t="str">
        <f aca="false">IFERROR(VLOOKUP(D38,Assumptions!$G$5:$H$16,2,0),"Other")</f>
        <v>Other</v>
      </c>
      <c r="F38" s="32" t="s">
        <v>188</v>
      </c>
      <c r="G38" s="32" t="s">
        <v>210</v>
      </c>
      <c r="H38" s="33" t="n">
        <v>6652.47</v>
      </c>
      <c r="I38" s="32" t="s">
        <v>120</v>
      </c>
      <c r="J38" s="34" t="str">
        <f aca="false">IFERROR(IF(ISNUMBER(SEARCH(Assumptions!$C$5,G38)),Assumptions!$D$5,IF(ISNUMBER(SEARCH(Assumptions!$C$6,G38)),Assumptions!$D$6,IF(ISNUMBER(SEARCH(Assumptions!$C$7,G38)),Assumptions!$D$7,"Other Services"))),"Other Services")</f>
        <v>Other Services</v>
      </c>
    </row>
    <row r="39" customFormat="false" ht="15" hidden="false" customHeight="true" outlineLevel="0" collapsed="false">
      <c r="A39" s="31" t="n">
        <v>46176</v>
      </c>
      <c r="B39" s="31" t="n">
        <v>46176</v>
      </c>
      <c r="C39" s="32" t="s">
        <v>185</v>
      </c>
      <c r="D39" s="32" t="s">
        <v>186</v>
      </c>
      <c r="E39" s="34" t="str">
        <f aca="false">IFERROR(VLOOKUP(D39,Assumptions!$G$5:$H$16,2,0),"Other")</f>
        <v>Other</v>
      </c>
      <c r="F39" s="32" t="s">
        <v>186</v>
      </c>
      <c r="G39" s="32" t="s">
        <v>211</v>
      </c>
      <c r="H39" s="33" t="n">
        <v>16039.97</v>
      </c>
      <c r="I39" s="32" t="s">
        <v>120</v>
      </c>
      <c r="J39" s="34" t="str">
        <f aca="false">IFERROR(IF(ISNUMBER(SEARCH(Assumptions!$C$5,G39)),Assumptions!$D$5,IF(ISNUMBER(SEARCH(Assumptions!$C$6,G39)),Assumptions!$D$6,IF(ISNUMBER(SEARCH(Assumptions!$C$7,G39)),Assumptions!$D$7,"Other Services"))),"Other Services")</f>
        <v>Other Services</v>
      </c>
    </row>
    <row r="40" customFormat="false" ht="15" hidden="false" customHeight="true" outlineLevel="0" collapsed="false">
      <c r="A40" s="31" t="n">
        <v>46175</v>
      </c>
      <c r="B40" s="31" t="n">
        <v>46175</v>
      </c>
      <c r="C40" s="32" t="s">
        <v>185</v>
      </c>
      <c r="D40" s="32" t="s">
        <v>212</v>
      </c>
      <c r="E40" s="34" t="str">
        <f aca="false">IFERROR(VLOOKUP(D40,Assumptions!$G$5:$H$16,2,0),"Other")</f>
        <v>Other</v>
      </c>
      <c r="F40" s="32" t="s">
        <v>212</v>
      </c>
      <c r="G40" s="32" t="s">
        <v>213</v>
      </c>
      <c r="H40" s="33" t="n">
        <v>586.87</v>
      </c>
      <c r="I40" s="32" t="s">
        <v>120</v>
      </c>
      <c r="J40" s="34" t="str">
        <f aca="false">IFERROR(IF(ISNUMBER(SEARCH(Assumptions!$C$5,G40)),Assumptions!$D$5,IF(ISNUMBER(SEARCH(Assumptions!$C$6,G40)),Assumptions!$D$6,IF(ISNUMBER(SEARCH(Assumptions!$C$7,G40)),Assumptions!$D$7,"Other Services"))),"Other Services")</f>
        <v>Subscription</v>
      </c>
    </row>
    <row r="41" customFormat="false" ht="15" hidden="false" customHeight="true" outlineLevel="0" collapsed="false">
      <c r="A41" s="31" t="n">
        <v>46194</v>
      </c>
      <c r="B41" s="31" t="n">
        <v>46194</v>
      </c>
      <c r="C41" s="32" t="s">
        <v>185</v>
      </c>
      <c r="D41" s="32" t="s">
        <v>190</v>
      </c>
      <c r="E41" s="34" t="str">
        <f aca="false">IFERROR(VLOOKUP(D41,Assumptions!$G$5:$H$16,2,0),"Other")</f>
        <v>Other</v>
      </c>
      <c r="F41" s="32" t="s">
        <v>190</v>
      </c>
      <c r="G41" s="32" t="s">
        <v>214</v>
      </c>
      <c r="H41" s="33" t="n">
        <v>24505.05</v>
      </c>
      <c r="I41" s="32" t="s">
        <v>120</v>
      </c>
      <c r="J41" s="34" t="str">
        <f aca="false">IFERROR(IF(ISNUMBER(SEARCH(Assumptions!$C$5,G41)),Assumptions!$D$5,IF(ISNUMBER(SEARCH(Assumptions!$C$6,G41)),Assumptions!$D$6,IF(ISNUMBER(SEARCH(Assumptions!$C$7,G41)),Assumptions!$D$7,"Other Services"))),"Other Services")</f>
        <v>Other Services</v>
      </c>
    </row>
    <row r="42" customFormat="false" ht="15" hidden="false" customHeight="true" outlineLevel="0" collapsed="false">
      <c r="A42" s="31" t="n">
        <v>46197</v>
      </c>
      <c r="B42" s="31" t="n">
        <v>46197</v>
      </c>
      <c r="C42" s="32" t="s">
        <v>185</v>
      </c>
      <c r="D42" s="32" t="s">
        <v>190</v>
      </c>
      <c r="E42" s="34" t="str">
        <f aca="false">IFERROR(VLOOKUP(D42,Assumptions!$G$5:$H$16,2,0),"Other")</f>
        <v>Other</v>
      </c>
      <c r="F42" s="32" t="s">
        <v>190</v>
      </c>
      <c r="G42" s="32" t="s">
        <v>214</v>
      </c>
      <c r="H42" s="33" t="n">
        <v>11324.97</v>
      </c>
      <c r="I42" s="32" t="s">
        <v>120</v>
      </c>
      <c r="J42" s="34" t="str">
        <f aca="false">IFERROR(IF(ISNUMBER(SEARCH(Assumptions!$C$5,G42)),Assumptions!$D$5,IF(ISNUMBER(SEARCH(Assumptions!$C$6,G42)),Assumptions!$D$6,IF(ISNUMBER(SEARCH(Assumptions!$C$7,G42)),Assumptions!$D$7,"Other Services"))),"Other Services")</f>
        <v>Other Services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88888"/>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2" width="12"/>
    <col collapsed="false" customWidth="true" hidden="false" outlineLevel="0" max="3" min="2" style="22" width="26"/>
    <col collapsed="false" customWidth="true" hidden="false" outlineLevel="0" max="6" min="4" style="22" width="15"/>
  </cols>
  <sheetData>
    <row r="1" customFormat="false" ht="15" hidden="false" customHeight="true" outlineLevel="0" collapsed="false">
      <c r="A1" s="28" t="s">
        <v>215</v>
      </c>
    </row>
    <row r="2" customFormat="false" ht="15" hidden="false" customHeight="true" outlineLevel="0" collapsed="false">
      <c r="A2" s="29" t="s">
        <v>216</v>
      </c>
    </row>
    <row r="3" customFormat="false" ht="21.75" hidden="false" customHeight="true" outlineLevel="0" collapsed="false">
      <c r="A3" s="30" t="s">
        <v>106</v>
      </c>
      <c r="B3" s="30" t="s">
        <v>217</v>
      </c>
      <c r="C3" s="30" t="s">
        <v>108</v>
      </c>
      <c r="D3" s="30" t="s">
        <v>218</v>
      </c>
      <c r="E3" s="30" t="s">
        <v>219</v>
      </c>
      <c r="F3" s="30" t="s">
        <v>220</v>
      </c>
    </row>
    <row r="4" customFormat="false" ht="15" hidden="false" customHeight="true" outlineLevel="0" collapsed="false">
      <c r="A4" s="35" t="n">
        <v>46116</v>
      </c>
      <c r="B4" s="32" t="s">
        <v>221</v>
      </c>
      <c r="C4" s="32" t="s">
        <v>222</v>
      </c>
      <c r="D4" s="33" t="n">
        <v>0</v>
      </c>
      <c r="E4" s="33" t="n">
        <v>2681.54</v>
      </c>
      <c r="F4" s="33" t="n">
        <v>247318.46</v>
      </c>
    </row>
    <row r="5" customFormat="false" ht="15" hidden="false" customHeight="true" outlineLevel="0" collapsed="false">
      <c r="A5" s="35" t="n">
        <v>46119</v>
      </c>
      <c r="B5" s="32" t="s">
        <v>223</v>
      </c>
      <c r="C5" s="32" t="s">
        <v>222</v>
      </c>
      <c r="D5" s="33" t="n">
        <v>0</v>
      </c>
      <c r="E5" s="33" t="n">
        <v>11858.94</v>
      </c>
      <c r="F5" s="33" t="n">
        <v>235459.52</v>
      </c>
    </row>
    <row r="6" customFormat="false" ht="15" hidden="false" customHeight="true" outlineLevel="0" collapsed="false">
      <c r="A6" s="35" t="n">
        <v>46121</v>
      </c>
      <c r="B6" s="32" t="s">
        <v>223</v>
      </c>
      <c r="C6" s="32" t="s">
        <v>224</v>
      </c>
      <c r="D6" s="33" t="n">
        <v>15221.41</v>
      </c>
      <c r="E6" s="33" t="n">
        <v>0</v>
      </c>
      <c r="F6" s="33" t="n">
        <v>250680.93</v>
      </c>
    </row>
    <row r="7" customFormat="false" ht="15" hidden="false" customHeight="true" outlineLevel="0" collapsed="false">
      <c r="A7" s="35" t="n">
        <v>46122</v>
      </c>
      <c r="B7" s="32" t="s">
        <v>221</v>
      </c>
      <c r="C7" s="32" t="s">
        <v>224</v>
      </c>
      <c r="D7" s="33" t="n">
        <v>10731.66</v>
      </c>
      <c r="E7" s="33" t="n">
        <v>0</v>
      </c>
      <c r="F7" s="33" t="n">
        <v>261412.59</v>
      </c>
    </row>
    <row r="8" customFormat="false" ht="15" hidden="false" customHeight="true" outlineLevel="0" collapsed="false">
      <c r="A8" s="35" t="n">
        <v>46123</v>
      </c>
      <c r="B8" s="32" t="s">
        <v>221</v>
      </c>
      <c r="C8" s="32" t="s">
        <v>225</v>
      </c>
      <c r="D8" s="33" t="n">
        <v>0</v>
      </c>
      <c r="E8" s="33" t="n">
        <v>17740.63</v>
      </c>
      <c r="F8" s="33" t="n">
        <v>243671.96</v>
      </c>
    </row>
    <row r="9" customFormat="false" ht="15" hidden="false" customHeight="true" outlineLevel="0" collapsed="false">
      <c r="A9" s="35" t="n">
        <v>46126</v>
      </c>
      <c r="B9" s="32" t="s">
        <v>223</v>
      </c>
      <c r="C9" s="32" t="s">
        <v>222</v>
      </c>
      <c r="D9" s="33" t="n">
        <v>0</v>
      </c>
      <c r="E9" s="33" t="n">
        <v>5116.38</v>
      </c>
      <c r="F9" s="33" t="n">
        <v>238555.58</v>
      </c>
    </row>
    <row r="10" customFormat="false" ht="15" hidden="false" customHeight="true" outlineLevel="0" collapsed="false">
      <c r="A10" s="35" t="n">
        <v>46127</v>
      </c>
      <c r="B10" s="32" t="s">
        <v>221</v>
      </c>
      <c r="C10" s="32" t="s">
        <v>224</v>
      </c>
      <c r="D10" s="33" t="n">
        <v>29726.01</v>
      </c>
      <c r="E10" s="33" t="n">
        <v>0</v>
      </c>
      <c r="F10" s="33" t="n">
        <v>268281.59</v>
      </c>
    </row>
    <row r="11" customFormat="false" ht="15" hidden="false" customHeight="true" outlineLevel="0" collapsed="false">
      <c r="A11" s="35" t="n">
        <v>46129</v>
      </c>
      <c r="B11" s="32" t="s">
        <v>221</v>
      </c>
      <c r="C11" s="32" t="s">
        <v>222</v>
      </c>
      <c r="D11" s="33" t="n">
        <v>0</v>
      </c>
      <c r="E11" s="33" t="n">
        <v>17349.25</v>
      </c>
      <c r="F11" s="33" t="n">
        <v>250932.34</v>
      </c>
    </row>
    <row r="12" customFormat="false" ht="15" hidden="false" customHeight="true" outlineLevel="0" collapsed="false">
      <c r="A12" s="35" t="n">
        <v>46131</v>
      </c>
      <c r="B12" s="32" t="s">
        <v>223</v>
      </c>
      <c r="C12" s="32" t="s">
        <v>226</v>
      </c>
      <c r="D12" s="33" t="n">
        <v>0</v>
      </c>
      <c r="E12" s="33" t="n">
        <v>2607.86</v>
      </c>
      <c r="F12" s="33" t="n">
        <v>248324.48</v>
      </c>
    </row>
    <row r="13" customFormat="false" ht="15" hidden="false" customHeight="true" outlineLevel="0" collapsed="false">
      <c r="A13" s="35" t="n">
        <v>46133</v>
      </c>
      <c r="B13" s="32" t="s">
        <v>223</v>
      </c>
      <c r="C13" s="32" t="s">
        <v>224</v>
      </c>
      <c r="D13" s="33" t="n">
        <v>36819.62</v>
      </c>
      <c r="E13" s="33" t="n">
        <v>0</v>
      </c>
      <c r="F13" s="33" t="n">
        <v>285144.1</v>
      </c>
    </row>
    <row r="14" customFormat="false" ht="15" hidden="false" customHeight="true" outlineLevel="0" collapsed="false">
      <c r="A14" s="35" t="n">
        <v>46135</v>
      </c>
      <c r="B14" s="32" t="s">
        <v>221</v>
      </c>
      <c r="C14" s="32" t="s">
        <v>222</v>
      </c>
      <c r="D14" s="33" t="n">
        <v>0</v>
      </c>
      <c r="E14" s="33" t="n">
        <v>17490.8</v>
      </c>
      <c r="F14" s="33" t="n">
        <v>267653.3</v>
      </c>
    </row>
    <row r="15" customFormat="false" ht="15" hidden="false" customHeight="true" outlineLevel="0" collapsed="false">
      <c r="A15" s="35" t="n">
        <v>46136</v>
      </c>
      <c r="B15" s="32" t="s">
        <v>223</v>
      </c>
      <c r="C15" s="32" t="s">
        <v>224</v>
      </c>
      <c r="D15" s="33" t="n">
        <v>11865.52</v>
      </c>
      <c r="E15" s="33" t="n">
        <v>0</v>
      </c>
      <c r="F15" s="33" t="n">
        <v>279518.82</v>
      </c>
    </row>
    <row r="16" customFormat="false" ht="15" hidden="false" customHeight="true" outlineLevel="0" collapsed="false">
      <c r="A16" s="35" t="n">
        <v>46137</v>
      </c>
      <c r="B16" s="32" t="s">
        <v>221</v>
      </c>
      <c r="C16" s="32" t="s">
        <v>224</v>
      </c>
      <c r="D16" s="33" t="n">
        <v>20866.82</v>
      </c>
      <c r="E16" s="33" t="n">
        <v>0</v>
      </c>
      <c r="F16" s="33" t="n">
        <v>300385.64</v>
      </c>
    </row>
    <row r="17" customFormat="false" ht="15" hidden="false" customHeight="true" outlineLevel="0" collapsed="false">
      <c r="A17" s="35" t="n">
        <v>46140</v>
      </c>
      <c r="B17" s="32" t="s">
        <v>221</v>
      </c>
      <c r="C17" s="32" t="s">
        <v>227</v>
      </c>
      <c r="D17" s="33" t="n">
        <v>0</v>
      </c>
      <c r="E17" s="33" t="n">
        <v>2749.16</v>
      </c>
      <c r="F17" s="33" t="n">
        <v>297636.48</v>
      </c>
    </row>
    <row r="18" customFormat="false" ht="15" hidden="false" customHeight="true" outlineLevel="0" collapsed="false">
      <c r="A18" s="35" t="n">
        <v>46141</v>
      </c>
      <c r="B18" s="32" t="s">
        <v>221</v>
      </c>
      <c r="C18" s="32" t="s">
        <v>224</v>
      </c>
      <c r="D18" s="33" t="n">
        <v>24266.28</v>
      </c>
      <c r="E18" s="33" t="n">
        <v>0</v>
      </c>
      <c r="F18" s="33" t="n">
        <v>321902.76</v>
      </c>
    </row>
    <row r="19" customFormat="false" ht="15" hidden="false" customHeight="true" outlineLevel="0" collapsed="false">
      <c r="A19" s="35" t="n">
        <v>46143</v>
      </c>
      <c r="B19" s="32" t="s">
        <v>221</v>
      </c>
      <c r="C19" s="32" t="s">
        <v>224</v>
      </c>
      <c r="D19" s="33" t="n">
        <v>39385.2</v>
      </c>
      <c r="E19" s="33" t="n">
        <v>0</v>
      </c>
      <c r="F19" s="33" t="n">
        <v>361287.96</v>
      </c>
    </row>
    <row r="20" customFormat="false" ht="15" hidden="false" customHeight="true" outlineLevel="0" collapsed="false">
      <c r="A20" s="35" t="n">
        <v>46144</v>
      </c>
      <c r="B20" s="32" t="s">
        <v>221</v>
      </c>
      <c r="C20" s="32" t="s">
        <v>226</v>
      </c>
      <c r="D20" s="33" t="n">
        <v>0</v>
      </c>
      <c r="E20" s="33" t="n">
        <v>4206.54</v>
      </c>
      <c r="F20" s="33" t="n">
        <v>357081.42</v>
      </c>
    </row>
    <row r="21" customFormat="false" ht="15" hidden="false" customHeight="true" outlineLevel="0" collapsed="false">
      <c r="A21" s="35" t="n">
        <v>46147</v>
      </c>
      <c r="B21" s="32" t="s">
        <v>221</v>
      </c>
      <c r="C21" s="32" t="s">
        <v>224</v>
      </c>
      <c r="D21" s="33" t="n">
        <v>37097.43</v>
      </c>
      <c r="E21" s="33" t="n">
        <v>0</v>
      </c>
      <c r="F21" s="33" t="n">
        <v>394178.85</v>
      </c>
    </row>
    <row r="22" customFormat="false" ht="15" hidden="false" customHeight="true" outlineLevel="0" collapsed="false">
      <c r="A22" s="35" t="n">
        <v>46150</v>
      </c>
      <c r="B22" s="32" t="s">
        <v>223</v>
      </c>
      <c r="C22" s="32" t="s">
        <v>224</v>
      </c>
      <c r="D22" s="33" t="n">
        <v>3728.98</v>
      </c>
      <c r="E22" s="33" t="n">
        <v>0</v>
      </c>
      <c r="F22" s="33" t="n">
        <v>397907.83</v>
      </c>
    </row>
    <row r="23" customFormat="false" ht="15" hidden="false" customHeight="true" outlineLevel="0" collapsed="false">
      <c r="A23" s="35" t="n">
        <v>46153</v>
      </c>
      <c r="B23" s="32" t="s">
        <v>221</v>
      </c>
      <c r="C23" s="32" t="s">
        <v>226</v>
      </c>
      <c r="D23" s="33" t="n">
        <v>0</v>
      </c>
      <c r="E23" s="33" t="n">
        <v>13436.06</v>
      </c>
      <c r="F23" s="33" t="n">
        <v>384471.77</v>
      </c>
    </row>
    <row r="24" customFormat="false" ht="15" hidden="false" customHeight="true" outlineLevel="0" collapsed="false">
      <c r="A24" s="35" t="n">
        <v>46156</v>
      </c>
      <c r="B24" s="32" t="s">
        <v>221</v>
      </c>
      <c r="C24" s="32" t="s">
        <v>227</v>
      </c>
      <c r="D24" s="33" t="n">
        <v>0</v>
      </c>
      <c r="E24" s="33" t="n">
        <v>13504.41</v>
      </c>
      <c r="F24" s="33" t="n">
        <v>370967.36</v>
      </c>
    </row>
    <row r="25" customFormat="false" ht="15" hidden="false" customHeight="true" outlineLevel="0" collapsed="false">
      <c r="A25" s="35" t="n">
        <v>46158</v>
      </c>
      <c r="B25" s="32" t="s">
        <v>221</v>
      </c>
      <c r="C25" s="32" t="s">
        <v>225</v>
      </c>
      <c r="D25" s="33" t="n">
        <v>0</v>
      </c>
      <c r="E25" s="33" t="n">
        <v>4240.88</v>
      </c>
      <c r="F25" s="33" t="n">
        <v>366726.48</v>
      </c>
    </row>
    <row r="26" customFormat="false" ht="15" hidden="false" customHeight="true" outlineLevel="0" collapsed="false">
      <c r="A26" s="35" t="n">
        <v>46161</v>
      </c>
      <c r="B26" s="32" t="s">
        <v>223</v>
      </c>
      <c r="C26" s="32" t="s">
        <v>228</v>
      </c>
      <c r="D26" s="33" t="n">
        <v>0</v>
      </c>
      <c r="E26" s="33" t="n">
        <v>6368.52</v>
      </c>
      <c r="F26" s="33" t="n">
        <v>360357.96</v>
      </c>
    </row>
    <row r="27" customFormat="false" ht="15" hidden="false" customHeight="true" outlineLevel="0" collapsed="false">
      <c r="A27" s="35" t="n">
        <v>46162</v>
      </c>
      <c r="B27" s="32" t="s">
        <v>221</v>
      </c>
      <c r="C27" s="32" t="s">
        <v>224</v>
      </c>
      <c r="D27" s="33" t="n">
        <v>17765.64</v>
      </c>
      <c r="E27" s="33" t="n">
        <v>0</v>
      </c>
      <c r="F27" s="33" t="n">
        <v>378123.6</v>
      </c>
    </row>
    <row r="28" customFormat="false" ht="15" hidden="false" customHeight="true" outlineLevel="0" collapsed="false">
      <c r="A28" s="35" t="n">
        <v>46165</v>
      </c>
      <c r="B28" s="32" t="s">
        <v>221</v>
      </c>
      <c r="C28" s="32" t="s">
        <v>222</v>
      </c>
      <c r="D28" s="33" t="n">
        <v>0</v>
      </c>
      <c r="E28" s="33" t="n">
        <v>9122.12</v>
      </c>
      <c r="F28" s="33" t="n">
        <v>369001.48</v>
      </c>
    </row>
    <row r="29" customFormat="false" ht="15" hidden="false" customHeight="true" outlineLevel="0" collapsed="false">
      <c r="A29" s="35" t="n">
        <v>46168</v>
      </c>
      <c r="B29" s="32" t="s">
        <v>221</v>
      </c>
      <c r="C29" s="32" t="s">
        <v>222</v>
      </c>
      <c r="D29" s="33" t="n">
        <v>0</v>
      </c>
      <c r="E29" s="33" t="n">
        <v>19216.72</v>
      </c>
      <c r="F29" s="33" t="n">
        <v>349784.76</v>
      </c>
    </row>
    <row r="30" customFormat="false" ht="15" hidden="false" customHeight="true" outlineLevel="0" collapsed="false">
      <c r="A30" s="35" t="n">
        <v>46171</v>
      </c>
      <c r="B30" s="32" t="s">
        <v>223</v>
      </c>
      <c r="C30" s="32" t="s">
        <v>224</v>
      </c>
      <c r="D30" s="33" t="n">
        <v>26890.3</v>
      </c>
      <c r="E30" s="33" t="n">
        <v>0</v>
      </c>
      <c r="F30" s="33" t="n">
        <v>376675.06</v>
      </c>
    </row>
    <row r="31" customFormat="false" ht="15" hidden="false" customHeight="true" outlineLevel="0" collapsed="false">
      <c r="A31" s="35" t="n">
        <v>46174</v>
      </c>
      <c r="B31" s="32" t="s">
        <v>221</v>
      </c>
      <c r="C31" s="32" t="s">
        <v>224</v>
      </c>
      <c r="D31" s="33" t="n">
        <v>38127.99</v>
      </c>
      <c r="E31" s="33" t="n">
        <v>0</v>
      </c>
      <c r="F31" s="33" t="n">
        <v>414803.05</v>
      </c>
    </row>
    <row r="32" customFormat="false" ht="15" hidden="false" customHeight="true" outlineLevel="0" collapsed="false">
      <c r="A32" s="35" t="n">
        <v>46175</v>
      </c>
      <c r="B32" s="32" t="s">
        <v>221</v>
      </c>
      <c r="C32" s="32" t="s">
        <v>224</v>
      </c>
      <c r="D32" s="33" t="n">
        <v>8766.07</v>
      </c>
      <c r="E32" s="33" t="n">
        <v>0</v>
      </c>
      <c r="F32" s="33" t="n">
        <v>423569.12</v>
      </c>
    </row>
    <row r="33" customFormat="false" ht="15" hidden="false" customHeight="true" outlineLevel="0" collapsed="false">
      <c r="A33" s="35" t="n">
        <v>46176</v>
      </c>
      <c r="B33" s="32" t="s">
        <v>223</v>
      </c>
      <c r="C33" s="32" t="s">
        <v>224</v>
      </c>
      <c r="D33" s="33" t="n">
        <v>19530.32</v>
      </c>
      <c r="E33" s="33" t="n">
        <v>0</v>
      </c>
      <c r="F33" s="33" t="n">
        <v>443099.44</v>
      </c>
    </row>
    <row r="34" customFormat="false" ht="15" hidden="false" customHeight="true" outlineLevel="0" collapsed="false">
      <c r="A34" s="35" t="n">
        <v>46177</v>
      </c>
      <c r="B34" s="32" t="s">
        <v>221</v>
      </c>
      <c r="C34" s="32" t="s">
        <v>224</v>
      </c>
      <c r="D34" s="33" t="n">
        <v>25560.85</v>
      </c>
      <c r="E34" s="33" t="n">
        <v>0</v>
      </c>
      <c r="F34" s="33" t="n">
        <v>468660.29</v>
      </c>
    </row>
    <row r="35" customFormat="false" ht="15" hidden="false" customHeight="true" outlineLevel="0" collapsed="false">
      <c r="A35" s="35" t="n">
        <v>46178</v>
      </c>
      <c r="B35" s="32" t="s">
        <v>221</v>
      </c>
      <c r="C35" s="32" t="s">
        <v>226</v>
      </c>
      <c r="D35" s="33" t="n">
        <v>0</v>
      </c>
      <c r="E35" s="33" t="n">
        <v>5257.7</v>
      </c>
      <c r="F35" s="33" t="n">
        <v>463402.59</v>
      </c>
    </row>
    <row r="36" customFormat="false" ht="15" hidden="false" customHeight="true" outlineLevel="0" collapsed="false">
      <c r="A36" s="35" t="n">
        <v>46179</v>
      </c>
      <c r="B36" s="32" t="s">
        <v>221</v>
      </c>
      <c r="C36" s="32" t="s">
        <v>224</v>
      </c>
      <c r="D36" s="33" t="n">
        <v>32360.28</v>
      </c>
      <c r="E36" s="33" t="n">
        <v>0</v>
      </c>
      <c r="F36" s="33" t="n">
        <v>495762.87</v>
      </c>
    </row>
    <row r="37" customFormat="false" ht="15" hidden="false" customHeight="true" outlineLevel="0" collapsed="false">
      <c r="A37" s="35" t="n">
        <v>46182</v>
      </c>
      <c r="B37" s="32" t="s">
        <v>221</v>
      </c>
      <c r="C37" s="32" t="s">
        <v>224</v>
      </c>
      <c r="D37" s="33" t="n">
        <v>10718.73</v>
      </c>
      <c r="E37" s="33" t="n">
        <v>0</v>
      </c>
      <c r="F37" s="33" t="n">
        <v>506481.6</v>
      </c>
    </row>
    <row r="38" customFormat="false" ht="15" hidden="false" customHeight="true" outlineLevel="0" collapsed="false">
      <c r="A38" s="35" t="n">
        <v>46183</v>
      </c>
      <c r="B38" s="32" t="s">
        <v>221</v>
      </c>
      <c r="C38" s="32" t="s">
        <v>224</v>
      </c>
      <c r="D38" s="33" t="n">
        <v>19121.09</v>
      </c>
      <c r="E38" s="33" t="n">
        <v>0</v>
      </c>
      <c r="F38" s="33" t="n">
        <v>525602.69</v>
      </c>
    </row>
    <row r="39" customFormat="false" ht="15" hidden="false" customHeight="true" outlineLevel="0" collapsed="false">
      <c r="A39" s="35" t="n">
        <v>46186</v>
      </c>
      <c r="B39" s="32" t="s">
        <v>221</v>
      </c>
      <c r="C39" s="32" t="s">
        <v>228</v>
      </c>
      <c r="D39" s="33" t="n">
        <v>0</v>
      </c>
      <c r="E39" s="33" t="n">
        <v>17882.81</v>
      </c>
      <c r="F39" s="33" t="n">
        <v>507719.88</v>
      </c>
    </row>
    <row r="40" customFormat="false" ht="15" hidden="false" customHeight="true" outlineLevel="0" collapsed="false">
      <c r="A40" s="35" t="n">
        <v>46189</v>
      </c>
      <c r="B40" s="32" t="s">
        <v>221</v>
      </c>
      <c r="C40" s="32" t="s">
        <v>222</v>
      </c>
      <c r="D40" s="33" t="n">
        <v>0</v>
      </c>
      <c r="E40" s="33" t="n">
        <v>11183.5</v>
      </c>
      <c r="F40" s="33" t="n">
        <v>496536.38</v>
      </c>
    </row>
    <row r="41" customFormat="false" ht="15" hidden="false" customHeight="true" outlineLevel="0" collapsed="false">
      <c r="A41" s="35" t="n">
        <v>46192</v>
      </c>
      <c r="B41" s="32" t="s">
        <v>221</v>
      </c>
      <c r="C41" s="32" t="s">
        <v>227</v>
      </c>
      <c r="D41" s="33" t="n">
        <v>0</v>
      </c>
      <c r="E41" s="33" t="n">
        <v>15159.65</v>
      </c>
      <c r="F41" s="33" t="n">
        <v>481376.73</v>
      </c>
    </row>
    <row r="42" customFormat="false" ht="15" hidden="false" customHeight="true" outlineLevel="0" collapsed="false">
      <c r="A42" s="35" t="n">
        <v>46195</v>
      </c>
      <c r="B42" s="32" t="s">
        <v>221</v>
      </c>
      <c r="C42" s="32" t="s">
        <v>226</v>
      </c>
      <c r="D42" s="33" t="n">
        <v>0</v>
      </c>
      <c r="E42" s="33" t="n">
        <v>5854.65</v>
      </c>
      <c r="F42" s="33" t="n">
        <v>475522.08</v>
      </c>
    </row>
    <row r="43" customFormat="false" ht="15" hidden="false" customHeight="true" outlineLevel="0" collapsed="false">
      <c r="A43" s="35" t="n">
        <v>46198</v>
      </c>
      <c r="B43" s="32" t="s">
        <v>221</v>
      </c>
      <c r="C43" s="32" t="s">
        <v>224</v>
      </c>
      <c r="D43" s="33" t="n">
        <v>14098.05</v>
      </c>
      <c r="E43" s="33" t="n">
        <v>0</v>
      </c>
      <c r="F43" s="33" t="n">
        <v>489620.13</v>
      </c>
    </row>
    <row r="44" customFormat="false" ht="15" hidden="false" customHeight="true" outlineLevel="0" collapsed="false">
      <c r="A44" s="35" t="n">
        <v>46201</v>
      </c>
      <c r="B44" s="32" t="s">
        <v>223</v>
      </c>
      <c r="C44" s="32" t="s">
        <v>224</v>
      </c>
      <c r="D44" s="33" t="n">
        <v>10019.2</v>
      </c>
      <c r="E44" s="33" t="n">
        <v>0</v>
      </c>
      <c r="F44" s="33" t="n">
        <v>499639.33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877F2"/>
    <pageSetUpPr fitToPage="false"/>
  </sheetPr>
  <dimension ref="A1:K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22" width="13"/>
    <col collapsed="false" customWidth="true" hidden="false" outlineLevel="0" max="3" min="3" style="22" width="11"/>
    <col collapsed="false" customWidth="true" hidden="false" outlineLevel="0" max="4" min="4" style="22" width="34"/>
    <col collapsed="false" customWidth="true" hidden="false" outlineLevel="0" max="5" min="5" style="22" width="13"/>
    <col collapsed="false" customWidth="true" hidden="false" outlineLevel="0" max="6" min="6" style="22" width="24"/>
    <col collapsed="false" customWidth="true" hidden="false" outlineLevel="0" max="8" min="7" style="22" width="20"/>
    <col collapsed="false" customWidth="true" hidden="false" outlineLevel="0" max="9" min="9" style="22" width="22"/>
    <col collapsed="false" customWidth="true" hidden="false" outlineLevel="0" max="10" min="10" style="22" width="10"/>
    <col collapsed="false" customWidth="true" hidden="false" outlineLevel="0" max="11" min="11" style="22" width="16"/>
  </cols>
  <sheetData>
    <row r="1" customFormat="false" ht="15" hidden="false" customHeight="true" outlineLevel="0" collapsed="false">
      <c r="A1" s="28" t="s">
        <v>229</v>
      </c>
    </row>
    <row r="2" customFormat="false" ht="15" hidden="false" customHeight="true" outlineLevel="0" collapsed="false">
      <c r="A2" s="36" t="s">
        <v>230</v>
      </c>
      <c r="B2" s="36"/>
      <c r="C2" s="36"/>
      <c r="D2" s="36"/>
      <c r="E2" s="36"/>
      <c r="F2" s="36"/>
      <c r="G2" s="36"/>
      <c r="H2" s="36"/>
      <c r="I2" s="36"/>
      <c r="J2" s="36"/>
      <c r="K2" s="36"/>
    </row>
    <row r="3" customFormat="false" ht="21.75" hidden="false" customHeight="true" outlineLevel="0" collapsed="false">
      <c r="A3" s="30" t="s">
        <v>231</v>
      </c>
      <c r="B3" s="30" t="s">
        <v>232</v>
      </c>
      <c r="C3" s="30" t="s">
        <v>233</v>
      </c>
      <c r="D3" s="30" t="s">
        <v>107</v>
      </c>
      <c r="E3" s="30" t="s">
        <v>234</v>
      </c>
      <c r="F3" s="30" t="s">
        <v>235</v>
      </c>
      <c r="G3" s="30" t="s">
        <v>236</v>
      </c>
      <c r="H3" s="30" t="s">
        <v>237</v>
      </c>
      <c r="I3" s="30" t="s">
        <v>238</v>
      </c>
      <c r="J3" s="30" t="s">
        <v>113</v>
      </c>
      <c r="K3" s="30" t="s">
        <v>239</v>
      </c>
    </row>
    <row r="4" customFormat="false" ht="15" hidden="false" customHeight="true" outlineLevel="0" collapsed="false">
      <c r="A4" s="31" t="n">
        <v>46115</v>
      </c>
      <c r="B4" s="32" t="s">
        <v>240</v>
      </c>
      <c r="C4" s="34" t="str">
        <f aca="false">TEXT(A4,"mmm-yyyy")</f>
        <v>Apr-2026</v>
      </c>
      <c r="D4" s="32" t="s">
        <v>148</v>
      </c>
      <c r="E4" s="32" t="s">
        <v>241</v>
      </c>
      <c r="F4" s="32" t="s">
        <v>242</v>
      </c>
      <c r="G4" s="33" t="n">
        <v>3996.67</v>
      </c>
      <c r="H4" s="33" t="n">
        <v>228.78</v>
      </c>
      <c r="I4" s="37" t="n">
        <f aca="false">G4+H4</f>
        <v>4225.45</v>
      </c>
      <c r="J4" s="32" t="s">
        <v>119</v>
      </c>
      <c r="K4" s="32" t="s">
        <v>243</v>
      </c>
    </row>
    <row r="5" customFormat="false" ht="15" hidden="false" customHeight="true" outlineLevel="0" collapsed="false">
      <c r="A5" s="31" t="n">
        <v>46115</v>
      </c>
      <c r="B5" s="32" t="s">
        <v>240</v>
      </c>
      <c r="C5" s="34" t="str">
        <f aca="false">TEXT(A5,"mmm-yyyy")</f>
        <v>Apr-2026</v>
      </c>
      <c r="D5" s="32" t="s">
        <v>148</v>
      </c>
      <c r="E5" s="32" t="s">
        <v>244</v>
      </c>
      <c r="F5" s="32" t="s">
        <v>242</v>
      </c>
      <c r="G5" s="33" t="n">
        <v>1726.19</v>
      </c>
      <c r="H5" s="33" t="n">
        <v>217.7</v>
      </c>
      <c r="I5" s="37" t="n">
        <f aca="false">G5+H5</f>
        <v>1943.89</v>
      </c>
      <c r="J5" s="32" t="s">
        <v>119</v>
      </c>
      <c r="K5" s="32" t="s">
        <v>243</v>
      </c>
    </row>
    <row r="6" customFormat="false" ht="15" hidden="false" customHeight="true" outlineLevel="0" collapsed="false">
      <c r="A6" s="31" t="n">
        <v>46115</v>
      </c>
      <c r="B6" s="32" t="s">
        <v>240</v>
      </c>
      <c r="C6" s="34" t="str">
        <f aca="false">TEXT(A6,"mmm-yyyy")</f>
        <v>Apr-2026</v>
      </c>
      <c r="D6" s="32" t="s">
        <v>124</v>
      </c>
      <c r="E6" s="32" t="s">
        <v>245</v>
      </c>
      <c r="F6" s="32" t="s">
        <v>242</v>
      </c>
      <c r="G6" s="33" t="n">
        <v>1930.87</v>
      </c>
      <c r="H6" s="33" t="n">
        <v>256.14</v>
      </c>
      <c r="I6" s="37" t="n">
        <f aca="false">G6+H6</f>
        <v>2187.01</v>
      </c>
      <c r="J6" s="32" t="s">
        <v>119</v>
      </c>
      <c r="K6" s="32" t="s">
        <v>243</v>
      </c>
    </row>
    <row r="7" customFormat="false" ht="15" hidden="false" customHeight="true" outlineLevel="0" collapsed="false">
      <c r="A7" s="31" t="n">
        <v>46115</v>
      </c>
      <c r="B7" s="32" t="s">
        <v>240</v>
      </c>
      <c r="C7" s="34" t="str">
        <f aca="false">TEXT(A7,"mmm-yyyy")</f>
        <v>Apr-2026</v>
      </c>
      <c r="D7" s="32" t="s">
        <v>124</v>
      </c>
      <c r="E7" s="32" t="s">
        <v>246</v>
      </c>
      <c r="F7" s="32" t="s">
        <v>242</v>
      </c>
      <c r="G7" s="33" t="n">
        <v>3995.05</v>
      </c>
      <c r="H7" s="33" t="n">
        <v>0</v>
      </c>
      <c r="I7" s="37" t="n">
        <f aca="false">G7+H7</f>
        <v>3995.05</v>
      </c>
      <c r="J7" s="32" t="s">
        <v>119</v>
      </c>
      <c r="K7" s="32"/>
    </row>
    <row r="8" customFormat="false" ht="15" hidden="false" customHeight="true" outlineLevel="0" collapsed="false">
      <c r="A8" s="31" t="n">
        <v>46115</v>
      </c>
      <c r="B8" s="32" t="s">
        <v>240</v>
      </c>
      <c r="C8" s="34" t="str">
        <f aca="false">TEXT(A8,"mmm-yyyy")</f>
        <v>Apr-2026</v>
      </c>
      <c r="D8" s="32" t="s">
        <v>130</v>
      </c>
      <c r="E8" s="32" t="s">
        <v>247</v>
      </c>
      <c r="F8" s="32" t="s">
        <v>248</v>
      </c>
      <c r="G8" s="33" t="n">
        <v>493.4</v>
      </c>
      <c r="H8" s="33" t="n">
        <v>65.87</v>
      </c>
      <c r="I8" s="37" t="n">
        <f aca="false">G8+H8</f>
        <v>559.27</v>
      </c>
      <c r="J8" s="32" t="s">
        <v>119</v>
      </c>
      <c r="K8" s="32" t="s">
        <v>243</v>
      </c>
    </row>
    <row r="9" customFormat="false" ht="15" hidden="false" customHeight="true" outlineLevel="0" collapsed="false">
      <c r="A9" s="31" t="n">
        <v>46115</v>
      </c>
      <c r="B9" s="32" t="s">
        <v>240</v>
      </c>
      <c r="C9" s="34" t="str">
        <f aca="false">TEXT(A9,"mmm-yyyy")</f>
        <v>Apr-2026</v>
      </c>
      <c r="D9" s="32" t="s">
        <v>130</v>
      </c>
      <c r="E9" s="32" t="s">
        <v>249</v>
      </c>
      <c r="F9" s="32" t="s">
        <v>250</v>
      </c>
      <c r="G9" s="33" t="n">
        <v>1934.64</v>
      </c>
      <c r="H9" s="33" t="n">
        <v>262.41</v>
      </c>
      <c r="I9" s="37" t="n">
        <f aca="false">G9+H9</f>
        <v>2197.05</v>
      </c>
      <c r="J9" s="32" t="s">
        <v>119</v>
      </c>
      <c r="K9" s="32" t="s">
        <v>243</v>
      </c>
    </row>
    <row r="10" customFormat="false" ht="15" hidden="false" customHeight="true" outlineLevel="0" collapsed="false">
      <c r="A10" s="31" t="n">
        <v>46115</v>
      </c>
      <c r="B10" s="32" t="s">
        <v>240</v>
      </c>
      <c r="C10" s="34" t="str">
        <f aca="false">TEXT(A10,"mmm-yyyy")</f>
        <v>Apr-2026</v>
      </c>
      <c r="D10" s="32" t="s">
        <v>132</v>
      </c>
      <c r="E10" s="32" t="s">
        <v>251</v>
      </c>
      <c r="F10" s="32" t="s">
        <v>242</v>
      </c>
      <c r="G10" s="33" t="n">
        <v>2568.24</v>
      </c>
      <c r="H10" s="33" t="n">
        <v>0</v>
      </c>
      <c r="I10" s="37" t="n">
        <f aca="false">G10+H10</f>
        <v>2568.24</v>
      </c>
      <c r="J10" s="32" t="s">
        <v>119</v>
      </c>
      <c r="K10" s="32"/>
    </row>
    <row r="11" customFormat="false" ht="15" hidden="false" customHeight="true" outlineLevel="0" collapsed="false">
      <c r="A11" s="31" t="n">
        <v>46115</v>
      </c>
      <c r="B11" s="32" t="s">
        <v>240</v>
      </c>
      <c r="C11" s="34" t="str">
        <f aca="false">TEXT(A11,"mmm-yyyy")</f>
        <v>Apr-2026</v>
      </c>
      <c r="D11" s="32" t="s">
        <v>158</v>
      </c>
      <c r="E11" s="32" t="s">
        <v>252</v>
      </c>
      <c r="F11" s="32" t="s">
        <v>253</v>
      </c>
      <c r="G11" s="33" t="n">
        <v>2501.04</v>
      </c>
      <c r="H11" s="33" t="n">
        <v>0</v>
      </c>
      <c r="I11" s="37" t="n">
        <f aca="false">G11+H11</f>
        <v>2501.04</v>
      </c>
      <c r="J11" s="32" t="s">
        <v>119</v>
      </c>
      <c r="K11" s="32"/>
    </row>
    <row r="12" customFormat="false" ht="15" hidden="false" customHeight="true" outlineLevel="0" collapsed="false">
      <c r="A12" s="31" t="n">
        <v>46115</v>
      </c>
      <c r="B12" s="32" t="s">
        <v>240</v>
      </c>
      <c r="C12" s="34" t="str">
        <f aca="false">TEXT(A12,"mmm-yyyy")</f>
        <v>Apr-2026</v>
      </c>
      <c r="D12" s="32" t="s">
        <v>136</v>
      </c>
      <c r="E12" s="32" t="s">
        <v>254</v>
      </c>
      <c r="F12" s="32" t="s">
        <v>248</v>
      </c>
      <c r="G12" s="33" t="n">
        <v>2115.85</v>
      </c>
      <c r="H12" s="33" t="n">
        <v>0</v>
      </c>
      <c r="I12" s="37" t="n">
        <f aca="false">G12+H12</f>
        <v>2115.85</v>
      </c>
      <c r="J12" s="32" t="s">
        <v>119</v>
      </c>
      <c r="K12" s="32"/>
    </row>
    <row r="13" customFormat="false" ht="15" hidden="false" customHeight="true" outlineLevel="0" collapsed="false">
      <c r="A13" s="31" t="n">
        <v>46115</v>
      </c>
      <c r="B13" s="32" t="s">
        <v>240</v>
      </c>
      <c r="C13" s="34" t="str">
        <f aca="false">TEXT(A13,"mmm-yyyy")</f>
        <v>Apr-2026</v>
      </c>
      <c r="D13" s="32" t="s">
        <v>136</v>
      </c>
      <c r="E13" s="32" t="s">
        <v>255</v>
      </c>
      <c r="F13" s="32" t="s">
        <v>248</v>
      </c>
      <c r="G13" s="33" t="n">
        <v>1268.86</v>
      </c>
      <c r="H13" s="33" t="n">
        <v>211.87</v>
      </c>
      <c r="I13" s="37" t="n">
        <f aca="false">G13+H13</f>
        <v>1480.73</v>
      </c>
      <c r="J13" s="32" t="s">
        <v>119</v>
      </c>
      <c r="K13" s="32" t="s">
        <v>243</v>
      </c>
    </row>
    <row r="14" customFormat="false" ht="15" hidden="false" customHeight="true" outlineLevel="0" collapsed="false">
      <c r="A14" s="31" t="n">
        <v>46145</v>
      </c>
      <c r="B14" s="32" t="s">
        <v>256</v>
      </c>
      <c r="C14" s="34" t="str">
        <f aca="false">TEXT(A14,"mmm-yyyy")</f>
        <v>May-2026</v>
      </c>
      <c r="D14" s="32" t="s">
        <v>148</v>
      </c>
      <c r="E14" s="32" t="s">
        <v>257</v>
      </c>
      <c r="F14" s="32" t="s">
        <v>242</v>
      </c>
      <c r="G14" s="33" t="n">
        <v>3713.04</v>
      </c>
      <c r="H14" s="33" t="n">
        <v>0</v>
      </c>
      <c r="I14" s="37" t="n">
        <f aca="false">G14+H14</f>
        <v>3713.04</v>
      </c>
      <c r="J14" s="32" t="s">
        <v>119</v>
      </c>
      <c r="K14" s="32"/>
    </row>
    <row r="15" customFormat="false" ht="15" hidden="false" customHeight="true" outlineLevel="0" collapsed="false">
      <c r="A15" s="31" t="n">
        <v>46145</v>
      </c>
      <c r="B15" s="32" t="s">
        <v>256</v>
      </c>
      <c r="C15" s="34" t="str">
        <f aca="false">TEXT(A15,"mmm-yyyy")</f>
        <v>May-2026</v>
      </c>
      <c r="D15" s="32" t="s">
        <v>148</v>
      </c>
      <c r="E15" s="32" t="s">
        <v>258</v>
      </c>
      <c r="F15" s="32" t="s">
        <v>253</v>
      </c>
      <c r="G15" s="33" t="n">
        <v>760.46</v>
      </c>
      <c r="H15" s="33" t="n">
        <v>124.39</v>
      </c>
      <c r="I15" s="37" t="n">
        <f aca="false">G15+H15</f>
        <v>884.85</v>
      </c>
      <c r="J15" s="32" t="s">
        <v>119</v>
      </c>
      <c r="K15" s="32" t="s">
        <v>243</v>
      </c>
    </row>
    <row r="16" customFormat="false" ht="15" hidden="false" customHeight="true" outlineLevel="0" collapsed="false">
      <c r="A16" s="31" t="n">
        <v>46145</v>
      </c>
      <c r="B16" s="32" t="s">
        <v>256</v>
      </c>
      <c r="C16" s="34" t="str">
        <f aca="false">TEXT(A16,"mmm-yyyy")</f>
        <v>May-2026</v>
      </c>
      <c r="D16" s="32" t="s">
        <v>124</v>
      </c>
      <c r="E16" s="32" t="s">
        <v>259</v>
      </c>
      <c r="F16" s="32" t="s">
        <v>248</v>
      </c>
      <c r="G16" s="33" t="n">
        <v>452.91</v>
      </c>
      <c r="H16" s="33" t="n">
        <v>0</v>
      </c>
      <c r="I16" s="37" t="n">
        <f aca="false">G16+H16</f>
        <v>452.91</v>
      </c>
      <c r="J16" s="32" t="s">
        <v>119</v>
      </c>
      <c r="K16" s="32"/>
    </row>
    <row r="17" customFormat="false" ht="15" hidden="false" customHeight="true" outlineLevel="0" collapsed="false">
      <c r="A17" s="31" t="n">
        <v>46145</v>
      </c>
      <c r="B17" s="32" t="s">
        <v>256</v>
      </c>
      <c r="C17" s="34" t="str">
        <f aca="false">TEXT(A17,"mmm-yyyy")</f>
        <v>May-2026</v>
      </c>
      <c r="D17" s="32" t="s">
        <v>124</v>
      </c>
      <c r="E17" s="32" t="s">
        <v>260</v>
      </c>
      <c r="F17" s="32" t="s">
        <v>253</v>
      </c>
      <c r="G17" s="33" t="n">
        <v>1626.48</v>
      </c>
      <c r="H17" s="33" t="n">
        <v>202.5</v>
      </c>
      <c r="I17" s="37" t="n">
        <f aca="false">G17+H17</f>
        <v>1828.98</v>
      </c>
      <c r="J17" s="32" t="s">
        <v>119</v>
      </c>
      <c r="K17" s="32" t="s">
        <v>243</v>
      </c>
    </row>
    <row r="18" customFormat="false" ht="15" hidden="false" customHeight="true" outlineLevel="0" collapsed="false">
      <c r="A18" s="31" t="n">
        <v>46145</v>
      </c>
      <c r="B18" s="32" t="s">
        <v>256</v>
      </c>
      <c r="C18" s="34" t="str">
        <f aca="false">TEXT(A18,"mmm-yyyy")</f>
        <v>May-2026</v>
      </c>
      <c r="D18" s="32" t="s">
        <v>130</v>
      </c>
      <c r="E18" s="32" t="s">
        <v>261</v>
      </c>
      <c r="F18" s="32" t="s">
        <v>242</v>
      </c>
      <c r="G18" s="33" t="n">
        <v>3575.87</v>
      </c>
      <c r="H18" s="33" t="n">
        <v>0</v>
      </c>
      <c r="I18" s="37" t="n">
        <f aca="false">G18+H18</f>
        <v>3575.87</v>
      </c>
      <c r="J18" s="32" t="s">
        <v>119</v>
      </c>
      <c r="K18" s="32"/>
    </row>
    <row r="19" customFormat="false" ht="15" hidden="false" customHeight="true" outlineLevel="0" collapsed="false">
      <c r="A19" s="31" t="n">
        <v>46145</v>
      </c>
      <c r="B19" s="32" t="s">
        <v>256</v>
      </c>
      <c r="C19" s="34" t="str">
        <f aca="false">TEXT(A19,"mmm-yyyy")</f>
        <v>May-2026</v>
      </c>
      <c r="D19" s="32" t="s">
        <v>132</v>
      </c>
      <c r="E19" s="32" t="s">
        <v>262</v>
      </c>
      <c r="F19" s="32" t="s">
        <v>253</v>
      </c>
      <c r="G19" s="33" t="n">
        <v>3151.52</v>
      </c>
      <c r="H19" s="33" t="n">
        <v>430.79</v>
      </c>
      <c r="I19" s="37" t="n">
        <f aca="false">G19+H19</f>
        <v>3582.31</v>
      </c>
      <c r="J19" s="32" t="s">
        <v>119</v>
      </c>
      <c r="K19" s="32" t="s">
        <v>243</v>
      </c>
    </row>
    <row r="20" customFormat="false" ht="15" hidden="false" customHeight="true" outlineLevel="0" collapsed="false">
      <c r="A20" s="31" t="n">
        <v>46145</v>
      </c>
      <c r="B20" s="32" t="s">
        <v>256</v>
      </c>
      <c r="C20" s="34" t="str">
        <f aca="false">TEXT(A20,"mmm-yyyy")</f>
        <v>May-2026</v>
      </c>
      <c r="D20" s="32" t="s">
        <v>158</v>
      </c>
      <c r="E20" s="32" t="s">
        <v>263</v>
      </c>
      <c r="F20" s="32" t="s">
        <v>242</v>
      </c>
      <c r="G20" s="33" t="n">
        <v>3094.85</v>
      </c>
      <c r="H20" s="33" t="n">
        <v>0</v>
      </c>
      <c r="I20" s="37" t="n">
        <f aca="false">G20+H20</f>
        <v>3094.85</v>
      </c>
      <c r="J20" s="32" t="s">
        <v>119</v>
      </c>
      <c r="K20" s="32"/>
    </row>
    <row r="21" customFormat="false" ht="15" hidden="false" customHeight="true" outlineLevel="0" collapsed="false">
      <c r="A21" s="31" t="n">
        <v>46145</v>
      </c>
      <c r="B21" s="32" t="s">
        <v>256</v>
      </c>
      <c r="C21" s="34" t="str">
        <f aca="false">TEXT(A21,"mmm-yyyy")</f>
        <v>May-2026</v>
      </c>
      <c r="D21" s="32" t="s">
        <v>158</v>
      </c>
      <c r="E21" s="32" t="s">
        <v>264</v>
      </c>
      <c r="F21" s="32" t="s">
        <v>242</v>
      </c>
      <c r="G21" s="33" t="n">
        <v>3968.53</v>
      </c>
      <c r="H21" s="33" t="n">
        <v>562.09</v>
      </c>
      <c r="I21" s="37" t="n">
        <f aca="false">G21+H21</f>
        <v>4530.62</v>
      </c>
      <c r="J21" s="32" t="s">
        <v>119</v>
      </c>
      <c r="K21" s="32" t="s">
        <v>243</v>
      </c>
    </row>
    <row r="22" customFormat="false" ht="15" hidden="false" customHeight="true" outlineLevel="0" collapsed="false">
      <c r="A22" s="31" t="n">
        <v>46145</v>
      </c>
      <c r="B22" s="32" t="s">
        <v>256</v>
      </c>
      <c r="C22" s="34" t="str">
        <f aca="false">TEXT(A22,"mmm-yyyy")</f>
        <v>May-2026</v>
      </c>
      <c r="D22" s="32" t="s">
        <v>136</v>
      </c>
      <c r="E22" s="32" t="s">
        <v>265</v>
      </c>
      <c r="F22" s="32" t="s">
        <v>253</v>
      </c>
      <c r="G22" s="33" t="n">
        <v>3296.11</v>
      </c>
      <c r="H22" s="33" t="n">
        <v>287.23</v>
      </c>
      <c r="I22" s="37" t="n">
        <f aca="false">G22+H22</f>
        <v>3583.34</v>
      </c>
      <c r="J22" s="32" t="s">
        <v>119</v>
      </c>
      <c r="K22" s="32" t="s">
        <v>243</v>
      </c>
    </row>
    <row r="23" customFormat="false" ht="15" hidden="false" customHeight="true" outlineLevel="0" collapsed="false">
      <c r="A23" s="31" t="n">
        <v>46176</v>
      </c>
      <c r="B23" s="32" t="s">
        <v>266</v>
      </c>
      <c r="C23" s="34" t="str">
        <f aca="false">TEXT(A23,"mmm-yyyy")</f>
        <v>Jun-2026</v>
      </c>
      <c r="D23" s="32" t="s">
        <v>148</v>
      </c>
      <c r="E23" s="32" t="s">
        <v>267</v>
      </c>
      <c r="F23" s="32" t="s">
        <v>253</v>
      </c>
      <c r="G23" s="33" t="n">
        <v>948.83</v>
      </c>
      <c r="H23" s="33" t="n">
        <v>86.98</v>
      </c>
      <c r="I23" s="37" t="n">
        <f aca="false">G23+H23</f>
        <v>1035.81</v>
      </c>
      <c r="J23" s="32" t="s">
        <v>119</v>
      </c>
      <c r="K23" s="32" t="s">
        <v>243</v>
      </c>
    </row>
    <row r="24" customFormat="false" ht="15" hidden="false" customHeight="true" outlineLevel="0" collapsed="false">
      <c r="A24" s="31" t="n">
        <v>46176</v>
      </c>
      <c r="B24" s="32" t="s">
        <v>266</v>
      </c>
      <c r="C24" s="34" t="str">
        <f aca="false">TEXT(A24,"mmm-yyyy")</f>
        <v>Jun-2026</v>
      </c>
      <c r="D24" s="32" t="s">
        <v>124</v>
      </c>
      <c r="E24" s="32" t="s">
        <v>268</v>
      </c>
      <c r="F24" s="32" t="s">
        <v>253</v>
      </c>
      <c r="G24" s="33" t="n">
        <v>3054.95</v>
      </c>
      <c r="H24" s="33" t="n">
        <v>0</v>
      </c>
      <c r="I24" s="37" t="n">
        <f aca="false">G24+H24</f>
        <v>3054.95</v>
      </c>
      <c r="J24" s="32" t="s">
        <v>119</v>
      </c>
      <c r="K24" s="32"/>
    </row>
    <row r="25" customFormat="false" ht="15" hidden="false" customHeight="true" outlineLevel="0" collapsed="false">
      <c r="A25" s="31" t="n">
        <v>46176</v>
      </c>
      <c r="B25" s="32" t="s">
        <v>266</v>
      </c>
      <c r="C25" s="34" t="str">
        <f aca="false">TEXT(A25,"mmm-yyyy")</f>
        <v>Jun-2026</v>
      </c>
      <c r="D25" s="32" t="s">
        <v>124</v>
      </c>
      <c r="E25" s="32" t="s">
        <v>269</v>
      </c>
      <c r="F25" s="32" t="s">
        <v>250</v>
      </c>
      <c r="G25" s="33" t="n">
        <v>4035.15</v>
      </c>
      <c r="H25" s="33" t="n">
        <v>308.42</v>
      </c>
      <c r="I25" s="37" t="n">
        <f aca="false">G25+H25</f>
        <v>4343.57</v>
      </c>
      <c r="J25" s="32" t="s">
        <v>119</v>
      </c>
      <c r="K25" s="32" t="s">
        <v>243</v>
      </c>
    </row>
    <row r="26" customFormat="false" ht="15" hidden="false" customHeight="true" outlineLevel="0" collapsed="false">
      <c r="A26" s="31" t="n">
        <v>46176</v>
      </c>
      <c r="B26" s="32" t="s">
        <v>266</v>
      </c>
      <c r="C26" s="34" t="str">
        <f aca="false">TEXT(A26,"mmm-yyyy")</f>
        <v>Jun-2026</v>
      </c>
      <c r="D26" s="32" t="s">
        <v>130</v>
      </c>
      <c r="E26" s="32" t="s">
        <v>270</v>
      </c>
      <c r="F26" s="32" t="s">
        <v>248</v>
      </c>
      <c r="G26" s="33" t="n">
        <v>2191.35</v>
      </c>
      <c r="H26" s="33" t="n">
        <v>0</v>
      </c>
      <c r="I26" s="37" t="n">
        <f aca="false">G26+H26</f>
        <v>2191.35</v>
      </c>
      <c r="J26" s="32" t="s">
        <v>119</v>
      </c>
      <c r="K26" s="32"/>
    </row>
    <row r="27" customFormat="false" ht="15" hidden="false" customHeight="true" outlineLevel="0" collapsed="false">
      <c r="A27" s="31" t="n">
        <v>46176</v>
      </c>
      <c r="B27" s="32" t="s">
        <v>266</v>
      </c>
      <c r="C27" s="34" t="str">
        <f aca="false">TEXT(A27,"mmm-yyyy")</f>
        <v>Jun-2026</v>
      </c>
      <c r="D27" s="32" t="s">
        <v>132</v>
      </c>
      <c r="E27" s="32" t="s">
        <v>271</v>
      </c>
      <c r="F27" s="32" t="s">
        <v>250</v>
      </c>
      <c r="G27" s="33" t="n">
        <v>868.14</v>
      </c>
      <c r="H27" s="33" t="n">
        <v>122.82</v>
      </c>
      <c r="I27" s="37" t="n">
        <f aca="false">G27+H27</f>
        <v>990.96</v>
      </c>
      <c r="J27" s="32" t="s">
        <v>119</v>
      </c>
      <c r="K27" s="32" t="s">
        <v>243</v>
      </c>
    </row>
    <row r="28" customFormat="false" ht="15" hidden="false" customHeight="true" outlineLevel="0" collapsed="false">
      <c r="A28" s="31" t="n">
        <v>46176</v>
      </c>
      <c r="B28" s="32" t="s">
        <v>266</v>
      </c>
      <c r="C28" s="34" t="str">
        <f aca="false">TEXT(A28,"mmm-yyyy")</f>
        <v>Jun-2026</v>
      </c>
      <c r="D28" s="32" t="s">
        <v>158</v>
      </c>
      <c r="E28" s="32" t="s">
        <v>272</v>
      </c>
      <c r="F28" s="32" t="s">
        <v>253</v>
      </c>
      <c r="G28" s="33" t="n">
        <v>2080.91</v>
      </c>
      <c r="H28" s="33" t="n">
        <v>0</v>
      </c>
      <c r="I28" s="37" t="n">
        <f aca="false">G28+H28</f>
        <v>2080.91</v>
      </c>
      <c r="J28" s="32" t="s">
        <v>119</v>
      </c>
      <c r="K28" s="32"/>
    </row>
    <row r="29" customFormat="false" ht="15" hidden="false" customHeight="true" outlineLevel="0" collapsed="false">
      <c r="A29" s="31" t="n">
        <v>46176</v>
      </c>
      <c r="B29" s="32" t="s">
        <v>266</v>
      </c>
      <c r="C29" s="34" t="str">
        <f aca="false">TEXT(A29,"mmm-yyyy")</f>
        <v>Jun-2026</v>
      </c>
      <c r="D29" s="32" t="s">
        <v>136</v>
      </c>
      <c r="E29" s="32" t="s">
        <v>273</v>
      </c>
      <c r="F29" s="32" t="s">
        <v>250</v>
      </c>
      <c r="G29" s="33" t="n">
        <v>1856.02</v>
      </c>
      <c r="H29" s="33" t="n">
        <v>269.39</v>
      </c>
      <c r="I29" s="37" t="n">
        <f aca="false">G29+H29</f>
        <v>2125.41</v>
      </c>
      <c r="J29" s="32" t="s">
        <v>119</v>
      </c>
      <c r="K29" s="32" t="s">
        <v>243</v>
      </c>
    </row>
    <row r="30" customFormat="false" ht="15" hidden="false" customHeight="true" outlineLevel="0" collapsed="false">
      <c r="A30" s="31" t="n">
        <v>46176</v>
      </c>
      <c r="B30" s="32" t="s">
        <v>266</v>
      </c>
      <c r="C30" s="34" t="str">
        <f aca="false">TEXT(A30,"mmm-yyyy")</f>
        <v>Jun-2026</v>
      </c>
      <c r="D30" s="32" t="s">
        <v>136</v>
      </c>
      <c r="E30" s="32" t="s">
        <v>274</v>
      </c>
      <c r="F30" s="32" t="s">
        <v>242</v>
      </c>
      <c r="G30" s="33" t="n">
        <v>562.66</v>
      </c>
      <c r="H30" s="33" t="n">
        <v>41.83</v>
      </c>
      <c r="I30" s="37" t="n">
        <f aca="false">G30+H30</f>
        <v>604.49</v>
      </c>
      <c r="J30" s="32" t="s">
        <v>119</v>
      </c>
      <c r="K30" s="32" t="s">
        <v>243</v>
      </c>
    </row>
    <row r="33" customFormat="false" ht="15" hidden="false" customHeight="true" outlineLevel="0" collapsed="false">
      <c r="A33" s="38" t="s">
        <v>275</v>
      </c>
    </row>
    <row r="34" customFormat="false" ht="21.75" hidden="false" customHeight="true" outlineLevel="0" collapsed="false">
      <c r="A34" s="39" t="s">
        <v>107</v>
      </c>
      <c r="B34" s="39" t="s">
        <v>233</v>
      </c>
      <c r="C34" s="39" t="s">
        <v>276</v>
      </c>
      <c r="D34" s="39" t="s">
        <v>277</v>
      </c>
      <c r="E34" s="39" t="s">
        <v>278</v>
      </c>
    </row>
    <row r="35" customFormat="false" ht="15" hidden="false" customHeight="true" outlineLevel="0" collapsed="false">
      <c r="A35" s="34" t="s">
        <v>148</v>
      </c>
      <c r="B35" s="34" t="s">
        <v>279</v>
      </c>
      <c r="C35" s="40" t="n">
        <f aca="false">SUMIFS($G$4:$G$30,$D$4:$D$30,$A35,$C$4:$C$30,$B35)</f>
        <v>5722.86</v>
      </c>
      <c r="D35" s="40" t="n">
        <f aca="false">SUMIFS($H$4:$H$30,$D$4:$D$30,$A35,$C$4:$C$30,$B35)</f>
        <v>446.48</v>
      </c>
      <c r="E35" s="41" t="n">
        <f aca="false">C35+D35</f>
        <v>6169.34</v>
      </c>
    </row>
    <row r="36" customFormat="false" ht="15" hidden="false" customHeight="true" outlineLevel="0" collapsed="false">
      <c r="A36" s="34" t="s">
        <v>124</v>
      </c>
      <c r="B36" s="34" t="s">
        <v>279</v>
      </c>
      <c r="C36" s="40" t="n">
        <f aca="false">SUMIFS($G$4:$G$30,$D$4:$D$30,$A36,$C$4:$C$30,$B36)</f>
        <v>5925.92</v>
      </c>
      <c r="D36" s="40" t="n">
        <f aca="false">SUMIFS($H$4:$H$30,$D$4:$D$30,$A36,$C$4:$C$30,$B36)</f>
        <v>256.14</v>
      </c>
      <c r="E36" s="41" t="n">
        <f aca="false">C36+D36</f>
        <v>6182.06</v>
      </c>
    </row>
    <row r="37" customFormat="false" ht="15" hidden="false" customHeight="true" outlineLevel="0" collapsed="false">
      <c r="A37" s="34" t="s">
        <v>130</v>
      </c>
      <c r="B37" s="34" t="s">
        <v>279</v>
      </c>
      <c r="C37" s="40" t="n">
        <f aca="false">SUMIFS($G$4:$G$30,$D$4:$D$30,$A37,$C$4:$C$30,$B37)</f>
        <v>2428.04</v>
      </c>
      <c r="D37" s="40" t="n">
        <f aca="false">SUMIFS($H$4:$H$30,$D$4:$D$30,$A37,$C$4:$C$30,$B37)</f>
        <v>328.28</v>
      </c>
      <c r="E37" s="41" t="n">
        <f aca="false">C37+D37</f>
        <v>2756.32</v>
      </c>
    </row>
    <row r="38" customFormat="false" ht="15" hidden="false" customHeight="true" outlineLevel="0" collapsed="false">
      <c r="A38" s="34" t="s">
        <v>132</v>
      </c>
      <c r="B38" s="34" t="s">
        <v>279</v>
      </c>
      <c r="C38" s="40" t="n">
        <f aca="false">SUMIFS($G$4:$G$30,$D$4:$D$30,$A38,$C$4:$C$30,$B38)</f>
        <v>2568.24</v>
      </c>
      <c r="D38" s="40" t="n">
        <f aca="false">SUMIFS($H$4:$H$30,$D$4:$D$30,$A38,$C$4:$C$30,$B38)</f>
        <v>0</v>
      </c>
      <c r="E38" s="41" t="n">
        <f aca="false">C38+D38</f>
        <v>2568.24</v>
      </c>
    </row>
    <row r="39" customFormat="false" ht="15" hidden="false" customHeight="true" outlineLevel="0" collapsed="false">
      <c r="A39" s="34" t="s">
        <v>158</v>
      </c>
      <c r="B39" s="34" t="s">
        <v>279</v>
      </c>
      <c r="C39" s="40" t="n">
        <f aca="false">SUMIFS($G$4:$G$30,$D$4:$D$30,$A39,$C$4:$C$30,$B39)</f>
        <v>2501.04</v>
      </c>
      <c r="D39" s="40" t="n">
        <f aca="false">SUMIFS($H$4:$H$30,$D$4:$D$30,$A39,$C$4:$C$30,$B39)</f>
        <v>0</v>
      </c>
      <c r="E39" s="41" t="n">
        <f aca="false">C39+D39</f>
        <v>2501.04</v>
      </c>
    </row>
    <row r="40" customFormat="false" ht="15" hidden="false" customHeight="true" outlineLevel="0" collapsed="false">
      <c r="A40" s="34" t="s">
        <v>136</v>
      </c>
      <c r="B40" s="34" t="s">
        <v>279</v>
      </c>
      <c r="C40" s="40" t="n">
        <f aca="false">SUMIFS($G$4:$G$30,$D$4:$D$30,$A40,$C$4:$C$30,$B40)</f>
        <v>3384.71</v>
      </c>
      <c r="D40" s="40" t="n">
        <f aca="false">SUMIFS($H$4:$H$30,$D$4:$D$30,$A40,$C$4:$C$30,$B40)</f>
        <v>211.87</v>
      </c>
      <c r="E40" s="41" t="n">
        <f aca="false">C40+D40</f>
        <v>3596.58</v>
      </c>
    </row>
    <row r="41" customFormat="false" ht="15" hidden="false" customHeight="true" outlineLevel="0" collapsed="false">
      <c r="A41" s="34" t="s">
        <v>148</v>
      </c>
      <c r="B41" s="34" t="s">
        <v>280</v>
      </c>
      <c r="C41" s="40" t="n">
        <f aca="false">SUMIFS($G$4:$G$30,$D$4:$D$30,$A41,$C$4:$C$30,$B41)</f>
        <v>4473.5</v>
      </c>
      <c r="D41" s="40" t="n">
        <f aca="false">SUMIFS($H$4:$H$30,$D$4:$D$30,$A41,$C$4:$C$30,$B41)</f>
        <v>124.39</v>
      </c>
      <c r="E41" s="41" t="n">
        <f aca="false">C41+D41</f>
        <v>4597.89</v>
      </c>
    </row>
    <row r="42" customFormat="false" ht="15" hidden="false" customHeight="true" outlineLevel="0" collapsed="false">
      <c r="A42" s="34" t="s">
        <v>124</v>
      </c>
      <c r="B42" s="34" t="s">
        <v>280</v>
      </c>
      <c r="C42" s="40" t="n">
        <f aca="false">SUMIFS($G$4:$G$30,$D$4:$D$30,$A42,$C$4:$C$30,$B42)</f>
        <v>2079.39</v>
      </c>
      <c r="D42" s="40" t="n">
        <f aca="false">SUMIFS($H$4:$H$30,$D$4:$D$30,$A42,$C$4:$C$30,$B42)</f>
        <v>202.5</v>
      </c>
      <c r="E42" s="41" t="n">
        <f aca="false">C42+D42</f>
        <v>2281.89</v>
      </c>
    </row>
    <row r="43" customFormat="false" ht="15" hidden="false" customHeight="true" outlineLevel="0" collapsed="false">
      <c r="A43" s="34" t="s">
        <v>130</v>
      </c>
      <c r="B43" s="34" t="s">
        <v>280</v>
      </c>
      <c r="C43" s="40" t="n">
        <f aca="false">SUMIFS($G$4:$G$30,$D$4:$D$30,$A43,$C$4:$C$30,$B43)</f>
        <v>3575.87</v>
      </c>
      <c r="D43" s="40" t="n">
        <f aca="false">SUMIFS($H$4:$H$30,$D$4:$D$30,$A43,$C$4:$C$30,$B43)</f>
        <v>0</v>
      </c>
      <c r="E43" s="41" t="n">
        <f aca="false">C43+D43</f>
        <v>3575.87</v>
      </c>
    </row>
    <row r="44" customFormat="false" ht="15" hidden="false" customHeight="true" outlineLevel="0" collapsed="false">
      <c r="A44" s="34" t="s">
        <v>132</v>
      </c>
      <c r="B44" s="34" t="s">
        <v>280</v>
      </c>
      <c r="C44" s="40" t="n">
        <f aca="false">SUMIFS($G$4:$G$30,$D$4:$D$30,$A44,$C$4:$C$30,$B44)</f>
        <v>3151.52</v>
      </c>
      <c r="D44" s="40" t="n">
        <f aca="false">SUMIFS($H$4:$H$30,$D$4:$D$30,$A44,$C$4:$C$30,$B44)</f>
        <v>430.79</v>
      </c>
      <c r="E44" s="41" t="n">
        <f aca="false">C44+D44</f>
        <v>3582.31</v>
      </c>
    </row>
    <row r="45" customFormat="false" ht="15" hidden="false" customHeight="true" outlineLevel="0" collapsed="false">
      <c r="A45" s="34" t="s">
        <v>158</v>
      </c>
      <c r="B45" s="34" t="s">
        <v>280</v>
      </c>
      <c r="C45" s="40" t="n">
        <f aca="false">SUMIFS($G$4:$G$30,$D$4:$D$30,$A45,$C$4:$C$30,$B45)</f>
        <v>7063.38</v>
      </c>
      <c r="D45" s="40" t="n">
        <f aca="false">SUMIFS($H$4:$H$30,$D$4:$D$30,$A45,$C$4:$C$30,$B45)</f>
        <v>562.09</v>
      </c>
      <c r="E45" s="41" t="n">
        <f aca="false">C45+D45</f>
        <v>7625.47</v>
      </c>
    </row>
    <row r="46" customFormat="false" ht="15" hidden="false" customHeight="true" outlineLevel="0" collapsed="false">
      <c r="A46" s="34" t="s">
        <v>136</v>
      </c>
      <c r="B46" s="34" t="s">
        <v>280</v>
      </c>
      <c r="C46" s="40" t="n">
        <f aca="false">SUMIFS($G$4:$G$30,$D$4:$D$30,$A46,$C$4:$C$30,$B46)</f>
        <v>3296.11</v>
      </c>
      <c r="D46" s="40" t="n">
        <f aca="false">SUMIFS($H$4:$H$30,$D$4:$D$30,$A46,$C$4:$C$30,$B46)</f>
        <v>287.23</v>
      </c>
      <c r="E46" s="41" t="n">
        <f aca="false">C46+D46</f>
        <v>3583.34</v>
      </c>
    </row>
    <row r="47" customFormat="false" ht="15" hidden="false" customHeight="true" outlineLevel="0" collapsed="false">
      <c r="A47" s="34" t="s">
        <v>148</v>
      </c>
      <c r="B47" s="34" t="s">
        <v>281</v>
      </c>
      <c r="C47" s="40" t="n">
        <f aca="false">SUMIFS($G$4:$G$30,$D$4:$D$30,$A47,$C$4:$C$30,$B47)</f>
        <v>948.83</v>
      </c>
      <c r="D47" s="40" t="n">
        <f aca="false">SUMIFS($H$4:$H$30,$D$4:$D$30,$A47,$C$4:$C$30,$B47)</f>
        <v>86.98</v>
      </c>
      <c r="E47" s="41" t="n">
        <f aca="false">C47+D47</f>
        <v>1035.81</v>
      </c>
    </row>
    <row r="48" customFormat="false" ht="15" hidden="false" customHeight="true" outlineLevel="0" collapsed="false">
      <c r="A48" s="34" t="s">
        <v>124</v>
      </c>
      <c r="B48" s="34" t="s">
        <v>281</v>
      </c>
      <c r="C48" s="40" t="n">
        <f aca="false">SUMIFS($G$4:$G$30,$D$4:$D$30,$A48,$C$4:$C$30,$B48)</f>
        <v>7090.1</v>
      </c>
      <c r="D48" s="40" t="n">
        <f aca="false">SUMIFS($H$4:$H$30,$D$4:$D$30,$A48,$C$4:$C$30,$B48)</f>
        <v>308.42</v>
      </c>
      <c r="E48" s="41" t="n">
        <f aca="false">C48+D48</f>
        <v>7398.52</v>
      </c>
    </row>
    <row r="49" customFormat="false" ht="15" hidden="false" customHeight="true" outlineLevel="0" collapsed="false">
      <c r="A49" s="34" t="s">
        <v>130</v>
      </c>
      <c r="B49" s="34" t="s">
        <v>281</v>
      </c>
      <c r="C49" s="40" t="n">
        <f aca="false">SUMIFS($G$4:$G$30,$D$4:$D$30,$A49,$C$4:$C$30,$B49)</f>
        <v>2191.35</v>
      </c>
      <c r="D49" s="40" t="n">
        <f aca="false">SUMIFS($H$4:$H$30,$D$4:$D$30,$A49,$C$4:$C$30,$B49)</f>
        <v>0</v>
      </c>
      <c r="E49" s="41" t="n">
        <f aca="false">C49+D49</f>
        <v>2191.35</v>
      </c>
    </row>
    <row r="50" customFormat="false" ht="15" hidden="false" customHeight="true" outlineLevel="0" collapsed="false">
      <c r="A50" s="34" t="s">
        <v>132</v>
      </c>
      <c r="B50" s="34" t="s">
        <v>281</v>
      </c>
      <c r="C50" s="40" t="n">
        <f aca="false">SUMIFS($G$4:$G$30,$D$4:$D$30,$A50,$C$4:$C$30,$B50)</f>
        <v>868.14</v>
      </c>
      <c r="D50" s="40" t="n">
        <f aca="false">SUMIFS($H$4:$H$30,$D$4:$D$30,$A50,$C$4:$C$30,$B50)</f>
        <v>122.82</v>
      </c>
      <c r="E50" s="41" t="n">
        <f aca="false">C50+D50</f>
        <v>990.96</v>
      </c>
    </row>
    <row r="51" customFormat="false" ht="15" hidden="false" customHeight="true" outlineLevel="0" collapsed="false">
      <c r="A51" s="34" t="s">
        <v>158</v>
      </c>
      <c r="B51" s="34" t="s">
        <v>281</v>
      </c>
      <c r="C51" s="40" t="n">
        <f aca="false">SUMIFS($G$4:$G$30,$D$4:$D$30,$A51,$C$4:$C$30,$B51)</f>
        <v>2080.91</v>
      </c>
      <c r="D51" s="40" t="n">
        <f aca="false">SUMIFS($H$4:$H$30,$D$4:$D$30,$A51,$C$4:$C$30,$B51)</f>
        <v>0</v>
      </c>
      <c r="E51" s="41" t="n">
        <f aca="false">C51+D51</f>
        <v>2080.91</v>
      </c>
    </row>
    <row r="52" customFormat="false" ht="15" hidden="false" customHeight="true" outlineLevel="0" collapsed="false">
      <c r="A52" s="34" t="s">
        <v>136</v>
      </c>
      <c r="B52" s="34" t="s">
        <v>281</v>
      </c>
      <c r="C52" s="40" t="n">
        <f aca="false">SUMIFS($G$4:$G$30,$D$4:$D$30,$A52,$C$4:$C$30,$B52)</f>
        <v>2418.68</v>
      </c>
      <c r="D52" s="40" t="n">
        <f aca="false">SUMIFS($H$4:$H$30,$D$4:$D$30,$A52,$C$4:$C$30,$B52)</f>
        <v>311.22</v>
      </c>
      <c r="E52" s="41" t="n">
        <f aca="false">C52+D52</f>
        <v>2729.9</v>
      </c>
    </row>
  </sheetData>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72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2" width="3"/>
    <col collapsed="false" customWidth="true" hidden="false" outlineLevel="0" max="2" min="2" style="22" width="42"/>
    <col collapsed="false" customWidth="true" hidden="false" outlineLevel="0" max="3" min="3" style="22" width="34"/>
    <col collapsed="false" customWidth="true" hidden="false" outlineLevel="0" max="4" min="4" style="22" width="20"/>
    <col collapsed="false" customWidth="true" hidden="false" outlineLevel="0" max="6" min="5" style="22" width="4"/>
    <col collapsed="false" customWidth="true" hidden="false" outlineLevel="0" max="7" min="7" style="22" width="42"/>
    <col collapsed="false" customWidth="true" hidden="false" outlineLevel="0" max="8" min="8" style="22" width="14"/>
  </cols>
  <sheetData>
    <row r="1" customFormat="false" ht="15" hidden="false" customHeight="true" outlineLevel="0" collapsed="false">
      <c r="A1" s="42" t="s">
        <v>282</v>
      </c>
      <c r="B1" s="42"/>
      <c r="C1" s="42"/>
      <c r="D1" s="42"/>
      <c r="E1" s="42"/>
    </row>
    <row r="3" customFormat="false" ht="15" hidden="false" customHeight="true" outlineLevel="0" collapsed="false">
      <c r="B3" s="25" t="s">
        <v>283</v>
      </c>
      <c r="G3" s="43" t="s">
        <v>284</v>
      </c>
      <c r="H3" s="43"/>
    </row>
    <row r="4" customFormat="false" ht="19.5" hidden="false" customHeight="true" outlineLevel="0" collapsed="false">
      <c r="B4" s="44" t="s">
        <v>285</v>
      </c>
      <c r="C4" s="44" t="s">
        <v>286</v>
      </c>
      <c r="D4" s="44" t="s">
        <v>287</v>
      </c>
      <c r="G4" s="44" t="s">
        <v>288</v>
      </c>
      <c r="H4" s="44" t="s">
        <v>289</v>
      </c>
    </row>
    <row r="5" customFormat="false" ht="15" hidden="false" customHeight="true" outlineLevel="0" collapsed="false">
      <c r="B5" s="34" t="n">
        <v>1</v>
      </c>
      <c r="C5" s="45" t="s">
        <v>290</v>
      </c>
      <c r="D5" s="45" t="s">
        <v>291</v>
      </c>
      <c r="G5" s="32" t="s">
        <v>148</v>
      </c>
      <c r="H5" s="45" t="s">
        <v>292</v>
      </c>
    </row>
    <row r="6" customFormat="false" ht="15" hidden="false" customHeight="true" outlineLevel="0" collapsed="false">
      <c r="B6" s="34" t="n">
        <v>2</v>
      </c>
      <c r="C6" s="45" t="s">
        <v>293</v>
      </c>
      <c r="D6" s="45" t="s">
        <v>294</v>
      </c>
      <c r="G6" s="32" t="s">
        <v>124</v>
      </c>
      <c r="H6" s="45" t="s">
        <v>292</v>
      </c>
    </row>
    <row r="7" customFormat="false" ht="15" hidden="false" customHeight="true" outlineLevel="0" collapsed="false">
      <c r="B7" s="34" t="n">
        <v>3</v>
      </c>
      <c r="C7" s="45" t="s">
        <v>295</v>
      </c>
      <c r="D7" s="45" t="s">
        <v>296</v>
      </c>
      <c r="G7" s="32" t="s">
        <v>121</v>
      </c>
      <c r="H7" s="45" t="s">
        <v>297</v>
      </c>
    </row>
    <row r="8" customFormat="false" ht="15" hidden="false" customHeight="true" outlineLevel="0" collapsed="false">
      <c r="G8" s="32" t="s">
        <v>127</v>
      </c>
      <c r="H8" s="45" t="s">
        <v>292</v>
      </c>
    </row>
    <row r="9" customFormat="false" ht="15" hidden="false" customHeight="true" outlineLevel="0" collapsed="false">
      <c r="B9" s="46" t="s">
        <v>298</v>
      </c>
      <c r="C9" s="46"/>
      <c r="D9" s="46"/>
      <c r="E9" s="46"/>
      <c r="G9" s="32" t="s">
        <v>130</v>
      </c>
      <c r="H9" s="45" t="s">
        <v>292</v>
      </c>
    </row>
    <row r="10" customFormat="false" ht="15" hidden="false" customHeight="true" outlineLevel="0" collapsed="false">
      <c r="G10" s="32" t="s">
        <v>132</v>
      </c>
      <c r="H10" s="45" t="s">
        <v>299</v>
      </c>
    </row>
    <row r="11" customFormat="false" ht="15" hidden="false" customHeight="true" outlineLevel="0" collapsed="false">
      <c r="G11" s="32" t="s">
        <v>158</v>
      </c>
      <c r="H11" s="45" t="s">
        <v>299</v>
      </c>
    </row>
    <row r="12" customFormat="false" ht="15" hidden="false" customHeight="true" outlineLevel="0" collapsed="false">
      <c r="G12" s="32" t="s">
        <v>178</v>
      </c>
      <c r="H12" s="45" t="s">
        <v>300</v>
      </c>
    </row>
    <row r="13" customFormat="false" ht="15" hidden="false" customHeight="true" outlineLevel="0" collapsed="false">
      <c r="G13" s="32" t="s">
        <v>146</v>
      </c>
      <c r="H13" s="45" t="s">
        <v>301</v>
      </c>
    </row>
    <row r="14" customFormat="false" ht="15" hidden="false" customHeight="true" outlineLevel="0" collapsed="false">
      <c r="G14" s="32" t="s">
        <v>136</v>
      </c>
      <c r="H14" s="45" t="s">
        <v>292</v>
      </c>
    </row>
    <row r="15" customFormat="false" ht="15" hidden="false" customHeight="true" outlineLevel="0" collapsed="false">
      <c r="G15" s="32" t="s">
        <v>116</v>
      </c>
      <c r="H15" s="45" t="s">
        <v>297</v>
      </c>
    </row>
    <row r="16" customFormat="false" ht="15" hidden="false" customHeight="true" outlineLevel="0" collapsed="false">
      <c r="G16" s="32" t="s">
        <v>144</v>
      </c>
      <c r="H16" s="45" t="s">
        <v>301</v>
      </c>
    </row>
    <row r="18" customFormat="false" ht="15" hidden="false" customHeight="true" outlineLevel="0" collapsed="false">
      <c r="G18" s="46" t="s">
        <v>302</v>
      </c>
      <c r="H18" s="46"/>
    </row>
    <row r="22" customFormat="false" ht="15" hidden="false" customHeight="true" outlineLevel="0" collapsed="false">
      <c r="B22" s="25" t="s">
        <v>303</v>
      </c>
    </row>
    <row r="23" customFormat="false" ht="15" hidden="false" customHeight="true" outlineLevel="0" collapsed="false">
      <c r="B23" s="47" t="s">
        <v>304</v>
      </c>
      <c r="C23" s="48" t="s">
        <v>305</v>
      </c>
      <c r="D23" s="48"/>
      <c r="E23" s="48"/>
      <c r="F23" s="48"/>
    </row>
    <row r="24" customFormat="false" ht="15" hidden="false" customHeight="true" outlineLevel="0" collapsed="false">
      <c r="B24" s="49" t="s">
        <v>306</v>
      </c>
      <c r="C24" s="48" t="s">
        <v>307</v>
      </c>
      <c r="D24" s="48"/>
      <c r="E24" s="48"/>
      <c r="F24" s="48"/>
    </row>
    <row r="25" customFormat="false" ht="15" hidden="false" customHeight="true" outlineLevel="0" collapsed="false">
      <c r="B25" s="50" t="s">
        <v>308</v>
      </c>
      <c r="C25" s="48" t="s">
        <v>309</v>
      </c>
      <c r="D25" s="48"/>
      <c r="E25" s="48"/>
      <c r="F25" s="48"/>
    </row>
    <row r="26" customFormat="false" ht="15" hidden="false" customHeight="true" outlineLevel="0" collapsed="false">
      <c r="B26" s="51" t="s">
        <v>310</v>
      </c>
      <c r="C26" s="48" t="s">
        <v>311</v>
      </c>
      <c r="D26" s="48"/>
      <c r="E26" s="48"/>
      <c r="F26" s="48"/>
    </row>
    <row r="29" customFormat="false" ht="15" hidden="false" customHeight="true" outlineLevel="0" collapsed="false">
      <c r="B29" s="25" t="s">
        <v>312</v>
      </c>
    </row>
    <row r="30" customFormat="false" ht="15" hidden="false" customHeight="true" outlineLevel="0" collapsed="false">
      <c r="B30" s="34" t="s">
        <v>313</v>
      </c>
      <c r="C30" s="45" t="s">
        <v>119</v>
      </c>
    </row>
    <row r="31" customFormat="false" ht="15" hidden="false" customHeight="true" outlineLevel="0" collapsed="false">
      <c r="B31" s="34" t="s">
        <v>314</v>
      </c>
      <c r="C31" s="45" t="s">
        <v>315</v>
      </c>
    </row>
    <row r="32" customFormat="false" ht="15" hidden="false" customHeight="true" outlineLevel="0" collapsed="false">
      <c r="B32" s="34" t="s">
        <v>316</v>
      </c>
      <c r="C32" s="45" t="s">
        <v>317</v>
      </c>
    </row>
  </sheetData>
  <mergeCells count="8">
    <mergeCell ref="A1:E1"/>
    <mergeCell ref="G3:H3"/>
    <mergeCell ref="B9:E9"/>
    <mergeCell ref="G18:H18"/>
    <mergeCell ref="C23:F23"/>
    <mergeCell ref="C24:F24"/>
    <mergeCell ref="C25:F25"/>
    <mergeCell ref="C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35400"/>
    <pageSetUpPr fitToPage="false"/>
  </sheetPr>
  <dimension ref="A1: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2" width="26"/>
    <col collapsed="false" customWidth="true" hidden="false" outlineLevel="0" max="3" min="2" style="22" width="14"/>
    <col collapsed="false" customWidth="true" hidden="false" outlineLevel="0" max="4" min="4" style="22" width="16"/>
    <col collapsed="false" customWidth="true" hidden="false" outlineLevel="0" max="5" min="5" style="22" width="34"/>
    <col collapsed="false" customWidth="true" hidden="false" outlineLevel="0" max="7" min="6" style="22" width="14"/>
  </cols>
  <sheetData>
    <row r="1" customFormat="false" ht="15" hidden="false" customHeight="true" outlineLevel="0" collapsed="false">
      <c r="A1" s="42" t="s">
        <v>318</v>
      </c>
      <c r="B1" s="42"/>
      <c r="C1" s="42"/>
      <c r="D1" s="42"/>
      <c r="E1" s="42"/>
      <c r="F1" s="42"/>
      <c r="G1" s="42"/>
      <c r="H1" s="42"/>
      <c r="I1" s="42"/>
      <c r="J1" s="42"/>
      <c r="K1" s="42"/>
    </row>
    <row r="2" customFormat="false" ht="30" hidden="false" customHeight="true" outlineLevel="0" collapsed="false">
      <c r="A2" s="52" t="s">
        <v>319</v>
      </c>
      <c r="B2" s="52"/>
      <c r="C2" s="52"/>
      <c r="D2" s="52"/>
      <c r="E2" s="52"/>
      <c r="F2" s="52"/>
      <c r="G2" s="52"/>
      <c r="H2" s="52"/>
      <c r="I2" s="52"/>
      <c r="J2" s="52"/>
      <c r="K2" s="52"/>
    </row>
    <row r="3" customFormat="false" ht="21.75" hidden="false" customHeight="true" outlineLevel="0" collapsed="false">
      <c r="A3" s="30" t="s">
        <v>320</v>
      </c>
      <c r="B3" s="30" t="s">
        <v>321</v>
      </c>
      <c r="C3" s="30" t="s">
        <v>322</v>
      </c>
      <c r="D3" s="30" t="s">
        <v>323</v>
      </c>
      <c r="E3" s="30" t="s">
        <v>324</v>
      </c>
      <c r="F3" s="30" t="s">
        <v>174</v>
      </c>
      <c r="G3" s="30" t="s">
        <v>115</v>
      </c>
    </row>
    <row r="4" customFormat="false" ht="15" hidden="false" customHeight="true" outlineLevel="0" collapsed="false">
      <c r="A4" s="32" t="s">
        <v>325</v>
      </c>
      <c r="B4" s="32" t="s">
        <v>279</v>
      </c>
      <c r="C4" s="31" t="n">
        <v>46138</v>
      </c>
      <c r="D4" s="32" t="s">
        <v>326</v>
      </c>
      <c r="E4" s="32" t="s">
        <v>327</v>
      </c>
      <c r="F4" s="33" t="n">
        <v>3142.31</v>
      </c>
      <c r="G4" s="34" t="str">
        <f aca="false">IFERROR(IF(ISNUMBER(SEARCH(Assumptions!$C$5,E4)),Assumptions!$D$5,IF(ISNUMBER(SEARCH(Assumptions!$C$6,E4)),Assumptions!$D$6,IF(ISNUMBER(SEARCH(Assumptions!$C$7,E4)),Assumptions!$D$7,"Other Services"))),"Other Services")</f>
        <v>Other Services</v>
      </c>
    </row>
    <row r="5" customFormat="false" ht="15" hidden="false" customHeight="true" outlineLevel="0" collapsed="false">
      <c r="A5" s="32" t="s">
        <v>325</v>
      </c>
      <c r="B5" s="32" t="s">
        <v>279</v>
      </c>
      <c r="C5" s="31" t="n">
        <v>46129</v>
      </c>
      <c r="D5" s="32" t="s">
        <v>326</v>
      </c>
      <c r="E5" s="32" t="s">
        <v>328</v>
      </c>
      <c r="F5" s="33" t="n">
        <v>762.28</v>
      </c>
      <c r="G5" s="34" t="str">
        <f aca="false">IFERROR(IF(ISNUMBER(SEARCH(Assumptions!$C$5,E5)),Assumptions!$D$5,IF(ISNUMBER(SEARCH(Assumptions!$C$6,E5)),Assumptions!$D$6,IF(ISNUMBER(SEARCH(Assumptions!$C$7,E5)),Assumptions!$D$7,"Other Services"))),"Other Services")</f>
        <v>Other Services</v>
      </c>
    </row>
    <row r="6" customFormat="false" ht="15" hidden="false" customHeight="true" outlineLevel="0" collapsed="false">
      <c r="A6" s="32" t="s">
        <v>325</v>
      </c>
      <c r="B6" s="32" t="s">
        <v>279</v>
      </c>
      <c r="C6" s="31" t="n">
        <v>46129</v>
      </c>
      <c r="D6" s="32" t="s">
        <v>326</v>
      </c>
      <c r="E6" s="32" t="s">
        <v>329</v>
      </c>
      <c r="F6" s="33" t="n">
        <v>1069.63</v>
      </c>
      <c r="G6" s="34" t="str">
        <f aca="false">IFERROR(IF(ISNUMBER(SEARCH(Assumptions!$C$5,E6)),Assumptions!$D$5,IF(ISNUMBER(SEARCH(Assumptions!$C$6,E6)),Assumptions!$D$6,IF(ISNUMBER(SEARCH(Assumptions!$C$7,E6)),Assumptions!$D$7,"Other Services"))),"Other Services")</f>
        <v>Other Services</v>
      </c>
    </row>
    <row r="7" customFormat="false" ht="15" hidden="false" customHeight="true" outlineLevel="0" collapsed="false">
      <c r="A7" s="32" t="s">
        <v>325</v>
      </c>
      <c r="B7" s="32" t="s">
        <v>279</v>
      </c>
      <c r="C7" s="31" t="n">
        <v>46132</v>
      </c>
      <c r="D7" s="32" t="s">
        <v>326</v>
      </c>
      <c r="E7" s="32" t="s">
        <v>330</v>
      </c>
      <c r="F7" s="33" t="n">
        <v>972.89</v>
      </c>
      <c r="G7" s="34" t="str">
        <f aca="false">IFERROR(IF(ISNUMBER(SEARCH(Assumptions!$C$5,E7)),Assumptions!$D$5,IF(ISNUMBER(SEARCH(Assumptions!$C$6,E7)),Assumptions!$D$6,IF(ISNUMBER(SEARCH(Assumptions!$C$7,E7)),Assumptions!$D$7,"Other Services"))),"Other Services")</f>
        <v>Subscription</v>
      </c>
    </row>
    <row r="8" customFormat="false" ht="15" hidden="false" customHeight="true" outlineLevel="0" collapsed="false">
      <c r="A8" s="32" t="s">
        <v>325</v>
      </c>
      <c r="B8" s="32" t="s">
        <v>279</v>
      </c>
      <c r="C8" s="31" t="n">
        <v>46126</v>
      </c>
      <c r="D8" s="32" t="s">
        <v>326</v>
      </c>
      <c r="E8" s="32" t="s">
        <v>331</v>
      </c>
      <c r="F8" s="33" t="n">
        <v>1199.6</v>
      </c>
      <c r="G8" s="34" t="str">
        <f aca="false">IFERROR(IF(ISNUMBER(SEARCH(Assumptions!$C$5,E8)),Assumptions!$D$5,IF(ISNUMBER(SEARCH(Assumptions!$C$6,E8)),Assumptions!$D$6,IF(ISNUMBER(SEARCH(Assumptions!$C$7,E8)),Assumptions!$D$7,"Other Services"))),"Other Services")</f>
        <v>Other Services</v>
      </c>
    </row>
    <row r="9" customFormat="false" ht="15" hidden="false" customHeight="true" outlineLevel="0" collapsed="false">
      <c r="A9" s="32" t="s">
        <v>325</v>
      </c>
      <c r="B9" s="32" t="s">
        <v>279</v>
      </c>
      <c r="C9" s="31" t="n">
        <v>46139</v>
      </c>
      <c r="D9" s="32" t="s">
        <v>326</v>
      </c>
      <c r="E9" s="32" t="s">
        <v>331</v>
      </c>
      <c r="F9" s="33" t="n">
        <v>448.14</v>
      </c>
      <c r="G9" s="34" t="str">
        <f aca="false">IFERROR(IF(ISNUMBER(SEARCH(Assumptions!$C$5,E9)),Assumptions!$D$5,IF(ISNUMBER(SEARCH(Assumptions!$C$6,E9)),Assumptions!$D$6,IF(ISNUMBER(SEARCH(Assumptions!$C$7,E9)),Assumptions!$D$7,"Other Services"))),"Other Services")</f>
        <v>Other Services</v>
      </c>
    </row>
    <row r="10" customFormat="false" ht="15" hidden="false" customHeight="true" outlineLevel="0" collapsed="false">
      <c r="A10" s="32" t="s">
        <v>325</v>
      </c>
      <c r="B10" s="32" t="s">
        <v>279</v>
      </c>
      <c r="C10" s="31" t="n">
        <v>46122</v>
      </c>
      <c r="D10" s="32" t="s">
        <v>326</v>
      </c>
      <c r="E10" s="32" t="s">
        <v>329</v>
      </c>
      <c r="F10" s="33" t="n">
        <v>158.18</v>
      </c>
      <c r="G10" s="34" t="str">
        <f aca="false">IFERROR(IF(ISNUMBER(SEARCH(Assumptions!$C$5,E10)),Assumptions!$D$5,IF(ISNUMBER(SEARCH(Assumptions!$C$6,E10)),Assumptions!$D$6,IF(ISNUMBER(SEARCH(Assumptions!$C$7,E10)),Assumptions!$D$7,"Other Services"))),"Other Services")</f>
        <v>Other Services</v>
      </c>
    </row>
    <row r="11" customFormat="false" ht="15" hidden="false" customHeight="true" outlineLevel="0" collapsed="false">
      <c r="A11" s="32" t="s">
        <v>325</v>
      </c>
      <c r="B11" s="32" t="s">
        <v>279</v>
      </c>
      <c r="C11" s="31" t="n">
        <v>46115</v>
      </c>
      <c r="D11" s="32" t="s">
        <v>326</v>
      </c>
      <c r="E11" s="32" t="s">
        <v>332</v>
      </c>
      <c r="F11" s="33" t="n">
        <v>3227.77</v>
      </c>
      <c r="G11" s="34" t="str">
        <f aca="false">IFERROR(IF(ISNUMBER(SEARCH(Assumptions!$C$5,E11)),Assumptions!$D$5,IF(ISNUMBER(SEARCH(Assumptions!$C$6,E11)),Assumptions!$D$6,IF(ISNUMBER(SEARCH(Assumptions!$C$7,E11)),Assumptions!$D$7,"Other Services"))),"Other Services")</f>
        <v>Subscription</v>
      </c>
    </row>
    <row r="12" customFormat="false" ht="15" hidden="false" customHeight="true" outlineLevel="0" collapsed="false">
      <c r="A12" s="32" t="s">
        <v>325</v>
      </c>
      <c r="B12" s="32" t="s">
        <v>279</v>
      </c>
      <c r="C12" s="31" t="n">
        <v>46130</v>
      </c>
      <c r="D12" s="32" t="s">
        <v>326</v>
      </c>
      <c r="E12" s="32" t="s">
        <v>328</v>
      </c>
      <c r="F12" s="33" t="n">
        <v>1638.18</v>
      </c>
      <c r="G12" s="34" t="str">
        <f aca="false">IFERROR(IF(ISNUMBER(SEARCH(Assumptions!$C$5,E12)),Assumptions!$D$5,IF(ISNUMBER(SEARCH(Assumptions!$C$6,E12)),Assumptions!$D$6,IF(ISNUMBER(SEARCH(Assumptions!$C$7,E12)),Assumptions!$D$7,"Other Services"))),"Other Services")</f>
        <v>Other Services</v>
      </c>
    </row>
    <row r="13" customFormat="false" ht="15" hidden="false" customHeight="true" outlineLevel="0" collapsed="false">
      <c r="A13" s="32" t="s">
        <v>325</v>
      </c>
      <c r="B13" s="32" t="s">
        <v>279</v>
      </c>
      <c r="C13" s="31" t="n">
        <v>46138</v>
      </c>
      <c r="D13" s="32" t="s">
        <v>326</v>
      </c>
      <c r="E13" s="32" t="s">
        <v>328</v>
      </c>
      <c r="F13" s="33" t="n">
        <v>416.84</v>
      </c>
      <c r="G13" s="34" t="str">
        <f aca="false">IFERROR(IF(ISNUMBER(SEARCH(Assumptions!$C$5,E13)),Assumptions!$D$5,IF(ISNUMBER(SEARCH(Assumptions!$C$6,E13)),Assumptions!$D$6,IF(ISNUMBER(SEARCH(Assumptions!$C$7,E13)),Assumptions!$D$7,"Other Services"))),"Other Services")</f>
        <v>Other Services</v>
      </c>
    </row>
    <row r="14" customFormat="false" ht="15" hidden="false" customHeight="true" outlineLevel="0" collapsed="false">
      <c r="A14" s="32" t="s">
        <v>333</v>
      </c>
      <c r="B14" s="32" t="s">
        <v>280</v>
      </c>
      <c r="C14" s="31" t="n">
        <v>46146</v>
      </c>
      <c r="D14" s="32" t="s">
        <v>326</v>
      </c>
      <c r="E14" s="32" t="s">
        <v>327</v>
      </c>
      <c r="F14" s="33" t="n">
        <v>2060.51</v>
      </c>
      <c r="G14" s="34" t="str">
        <f aca="false">IFERROR(IF(ISNUMBER(SEARCH(Assumptions!$C$5,E14)),Assumptions!$D$5,IF(ISNUMBER(SEARCH(Assumptions!$C$6,E14)),Assumptions!$D$6,IF(ISNUMBER(SEARCH(Assumptions!$C$7,E14)),Assumptions!$D$7,"Other Services"))),"Other Services")</f>
        <v>Other Services</v>
      </c>
    </row>
    <row r="15" customFormat="false" ht="15" hidden="false" customHeight="true" outlineLevel="0" collapsed="false">
      <c r="A15" s="32" t="s">
        <v>333</v>
      </c>
      <c r="B15" s="32" t="s">
        <v>280</v>
      </c>
      <c r="C15" s="31" t="n">
        <v>46167</v>
      </c>
      <c r="D15" s="32" t="s">
        <v>326</v>
      </c>
      <c r="E15" s="32" t="s">
        <v>334</v>
      </c>
      <c r="F15" s="33" t="n">
        <v>2996.56</v>
      </c>
      <c r="G15" s="34" t="str">
        <f aca="false">IFERROR(IF(ISNUMBER(SEARCH(Assumptions!$C$5,E15)),Assumptions!$D$5,IF(ISNUMBER(SEARCH(Assumptions!$C$6,E15)),Assumptions!$D$6,IF(ISNUMBER(SEARCH(Assumptions!$C$7,E15)),Assumptions!$D$7,"Other Services"))),"Other Services")</f>
        <v>WhatsApp</v>
      </c>
    </row>
    <row r="16" customFormat="false" ht="15" hidden="false" customHeight="true" outlineLevel="0" collapsed="false">
      <c r="A16" s="32" t="s">
        <v>333</v>
      </c>
      <c r="B16" s="32" t="s">
        <v>280</v>
      </c>
      <c r="C16" s="31" t="n">
        <v>46164</v>
      </c>
      <c r="D16" s="32" t="s">
        <v>326</v>
      </c>
      <c r="E16" s="32" t="s">
        <v>335</v>
      </c>
      <c r="F16" s="33" t="n">
        <v>3463.11</v>
      </c>
      <c r="G16" s="34" t="str">
        <f aca="false">IFERROR(IF(ISNUMBER(SEARCH(Assumptions!$C$5,E16)),Assumptions!$D$5,IF(ISNUMBER(SEARCH(Assumptions!$C$6,E16)),Assumptions!$D$6,IF(ISNUMBER(SEARCH(Assumptions!$C$7,E16)),Assumptions!$D$7,"Other Services"))),"Other Services")</f>
        <v>Development</v>
      </c>
    </row>
    <row r="17" customFormat="false" ht="15" hidden="false" customHeight="true" outlineLevel="0" collapsed="false">
      <c r="A17" s="32" t="s">
        <v>333</v>
      </c>
      <c r="B17" s="32" t="s">
        <v>280</v>
      </c>
      <c r="C17" s="31" t="n">
        <v>46168</v>
      </c>
      <c r="D17" s="32" t="s">
        <v>326</v>
      </c>
      <c r="E17" s="32" t="s">
        <v>330</v>
      </c>
      <c r="F17" s="33" t="n">
        <v>2258.79</v>
      </c>
      <c r="G17" s="34" t="str">
        <f aca="false">IFERROR(IF(ISNUMBER(SEARCH(Assumptions!$C$5,E17)),Assumptions!$D$5,IF(ISNUMBER(SEARCH(Assumptions!$C$6,E17)),Assumptions!$D$6,IF(ISNUMBER(SEARCH(Assumptions!$C$7,E17)),Assumptions!$D$7,"Other Services"))),"Other Services")</f>
        <v>Subscription</v>
      </c>
    </row>
    <row r="18" customFormat="false" ht="15" hidden="false" customHeight="true" outlineLevel="0" collapsed="false">
      <c r="A18" s="32" t="s">
        <v>333</v>
      </c>
      <c r="B18" s="32" t="s">
        <v>280</v>
      </c>
      <c r="C18" s="31" t="n">
        <v>46150</v>
      </c>
      <c r="D18" s="32" t="s">
        <v>326</v>
      </c>
      <c r="E18" s="32" t="s">
        <v>334</v>
      </c>
      <c r="F18" s="33" t="n">
        <v>2729.45</v>
      </c>
      <c r="G18" s="34" t="str">
        <f aca="false">IFERROR(IF(ISNUMBER(SEARCH(Assumptions!$C$5,E18)),Assumptions!$D$5,IF(ISNUMBER(SEARCH(Assumptions!$C$6,E18)),Assumptions!$D$6,IF(ISNUMBER(SEARCH(Assumptions!$C$7,E18)),Assumptions!$D$7,"Other Services"))),"Other Services")</f>
        <v>WhatsApp</v>
      </c>
    </row>
    <row r="19" customFormat="false" ht="15" hidden="false" customHeight="true" outlineLevel="0" collapsed="false">
      <c r="A19" s="32" t="s">
        <v>333</v>
      </c>
      <c r="B19" s="32" t="s">
        <v>280</v>
      </c>
      <c r="C19" s="31" t="n">
        <v>46168</v>
      </c>
      <c r="D19" s="32" t="s">
        <v>326</v>
      </c>
      <c r="E19" s="32" t="s">
        <v>328</v>
      </c>
      <c r="F19" s="33" t="n">
        <v>789.06</v>
      </c>
      <c r="G19" s="34" t="str">
        <f aca="false">IFERROR(IF(ISNUMBER(SEARCH(Assumptions!$C$5,E19)),Assumptions!$D$5,IF(ISNUMBER(SEARCH(Assumptions!$C$6,E19)),Assumptions!$D$6,IF(ISNUMBER(SEARCH(Assumptions!$C$7,E19)),Assumptions!$D$7,"Other Services"))),"Other Services")</f>
        <v>Other Services</v>
      </c>
    </row>
    <row r="20" customFormat="false" ht="15" hidden="false" customHeight="true" outlineLevel="0" collapsed="false">
      <c r="A20" s="32" t="s">
        <v>333</v>
      </c>
      <c r="B20" s="32" t="s">
        <v>280</v>
      </c>
      <c r="C20" s="31" t="n">
        <v>46147</v>
      </c>
      <c r="D20" s="32" t="s">
        <v>326</v>
      </c>
      <c r="E20" s="32" t="s">
        <v>332</v>
      </c>
      <c r="F20" s="33" t="n">
        <v>540.52</v>
      </c>
      <c r="G20" s="34" t="str">
        <f aca="false">IFERROR(IF(ISNUMBER(SEARCH(Assumptions!$C$5,E20)),Assumptions!$D$5,IF(ISNUMBER(SEARCH(Assumptions!$C$6,E20)),Assumptions!$D$6,IF(ISNUMBER(SEARCH(Assumptions!$C$7,E20)),Assumptions!$D$7,"Other Services"))),"Other Services")</f>
        <v>Subscription</v>
      </c>
    </row>
    <row r="21" customFormat="false" ht="15" hidden="false" customHeight="true" outlineLevel="0" collapsed="false">
      <c r="A21" s="32" t="s">
        <v>333</v>
      </c>
      <c r="B21" s="32" t="s">
        <v>280</v>
      </c>
      <c r="C21" s="31" t="n">
        <v>46146</v>
      </c>
      <c r="D21" s="32" t="s">
        <v>326</v>
      </c>
      <c r="E21" s="32" t="s">
        <v>335</v>
      </c>
      <c r="F21" s="33" t="n">
        <v>1951.48</v>
      </c>
      <c r="G21" s="34" t="str">
        <f aca="false">IFERROR(IF(ISNUMBER(SEARCH(Assumptions!$C$5,E21)),Assumptions!$D$5,IF(ISNUMBER(SEARCH(Assumptions!$C$6,E21)),Assumptions!$D$6,IF(ISNUMBER(SEARCH(Assumptions!$C$7,E21)),Assumptions!$D$7,"Other Services"))),"Other Services")</f>
        <v>Development</v>
      </c>
    </row>
    <row r="22" customFormat="false" ht="15" hidden="false" customHeight="true" outlineLevel="0" collapsed="false">
      <c r="A22" s="32" t="s">
        <v>333</v>
      </c>
      <c r="B22" s="32" t="s">
        <v>280</v>
      </c>
      <c r="C22" s="31" t="n">
        <v>46143</v>
      </c>
      <c r="D22" s="32" t="s">
        <v>326</v>
      </c>
      <c r="E22" s="32" t="s">
        <v>335</v>
      </c>
      <c r="F22" s="33" t="n">
        <v>3352.85</v>
      </c>
      <c r="G22" s="34" t="str">
        <f aca="false">IFERROR(IF(ISNUMBER(SEARCH(Assumptions!$C$5,E22)),Assumptions!$D$5,IF(ISNUMBER(SEARCH(Assumptions!$C$6,E22)),Assumptions!$D$6,IF(ISNUMBER(SEARCH(Assumptions!$C$7,E22)),Assumptions!$D$7,"Other Services"))),"Other Services")</f>
        <v>Development</v>
      </c>
    </row>
    <row r="23" customFormat="false" ht="15" hidden="false" customHeight="true" outlineLevel="0" collapsed="false">
      <c r="A23" s="32" t="s">
        <v>333</v>
      </c>
      <c r="B23" s="32" t="s">
        <v>280</v>
      </c>
      <c r="C23" s="31" t="n">
        <v>46162</v>
      </c>
      <c r="D23" s="32" t="s">
        <v>326</v>
      </c>
      <c r="E23" s="32" t="s">
        <v>335</v>
      </c>
      <c r="F23" s="33" t="n">
        <v>489.71</v>
      </c>
      <c r="G23" s="34" t="str">
        <f aca="false">IFERROR(IF(ISNUMBER(SEARCH(Assumptions!$C$5,E23)),Assumptions!$D$5,IF(ISNUMBER(SEARCH(Assumptions!$C$6,E23)),Assumptions!$D$6,IF(ISNUMBER(SEARCH(Assumptions!$C$7,E23)),Assumptions!$D$7,"Other Services"))),"Other Services")</f>
        <v>Development</v>
      </c>
    </row>
    <row r="24" customFormat="false" ht="15" hidden="false" customHeight="true" outlineLevel="0" collapsed="false">
      <c r="A24" s="32" t="s">
        <v>336</v>
      </c>
      <c r="B24" s="32" t="s">
        <v>281</v>
      </c>
      <c r="C24" s="31" t="n">
        <v>46200</v>
      </c>
      <c r="D24" s="32" t="s">
        <v>326</v>
      </c>
      <c r="E24" s="32" t="s">
        <v>335</v>
      </c>
      <c r="F24" s="33" t="n">
        <v>1790.23</v>
      </c>
      <c r="G24" s="34" t="str">
        <f aca="false">IFERROR(IF(ISNUMBER(SEARCH(Assumptions!$C$5,E24)),Assumptions!$D$5,IF(ISNUMBER(SEARCH(Assumptions!$C$6,E24)),Assumptions!$D$6,IF(ISNUMBER(SEARCH(Assumptions!$C$7,E24)),Assumptions!$D$7,"Other Services"))),"Other Services")</f>
        <v>Development</v>
      </c>
    </row>
    <row r="25" customFormat="false" ht="15" hidden="false" customHeight="true" outlineLevel="0" collapsed="false">
      <c r="A25" s="32" t="s">
        <v>336</v>
      </c>
      <c r="B25" s="32" t="s">
        <v>281</v>
      </c>
      <c r="C25" s="31" t="n">
        <v>46187</v>
      </c>
      <c r="D25" s="32" t="s">
        <v>326</v>
      </c>
      <c r="E25" s="32" t="s">
        <v>329</v>
      </c>
      <c r="F25" s="33" t="n">
        <v>3145.25</v>
      </c>
      <c r="G25" s="34" t="str">
        <f aca="false">IFERROR(IF(ISNUMBER(SEARCH(Assumptions!$C$5,E25)),Assumptions!$D$5,IF(ISNUMBER(SEARCH(Assumptions!$C$6,E25)),Assumptions!$D$6,IF(ISNUMBER(SEARCH(Assumptions!$C$7,E25)),Assumptions!$D$7,"Other Services"))),"Other Services")</f>
        <v>Other Services</v>
      </c>
    </row>
    <row r="26" customFormat="false" ht="15" hidden="false" customHeight="true" outlineLevel="0" collapsed="false">
      <c r="A26" s="32" t="s">
        <v>336</v>
      </c>
      <c r="B26" s="32" t="s">
        <v>281</v>
      </c>
      <c r="C26" s="31" t="n">
        <v>46174</v>
      </c>
      <c r="D26" s="32" t="s">
        <v>326</v>
      </c>
      <c r="E26" s="32" t="s">
        <v>330</v>
      </c>
      <c r="F26" s="33" t="n">
        <v>917.5</v>
      </c>
      <c r="G26" s="34" t="str">
        <f aca="false">IFERROR(IF(ISNUMBER(SEARCH(Assumptions!$C$5,E26)),Assumptions!$D$5,IF(ISNUMBER(SEARCH(Assumptions!$C$6,E26)),Assumptions!$D$6,IF(ISNUMBER(SEARCH(Assumptions!$C$7,E26)),Assumptions!$D$7,"Other Services"))),"Other Services")</f>
        <v>Subscription</v>
      </c>
    </row>
    <row r="27" customFormat="false" ht="15" hidden="false" customHeight="true" outlineLevel="0" collapsed="false">
      <c r="A27" s="32" t="s">
        <v>336</v>
      </c>
      <c r="B27" s="32" t="s">
        <v>281</v>
      </c>
      <c r="C27" s="31" t="n">
        <v>46188</v>
      </c>
      <c r="D27" s="32" t="s">
        <v>326</v>
      </c>
      <c r="E27" s="32" t="s">
        <v>327</v>
      </c>
      <c r="F27" s="33" t="n">
        <v>1368.01</v>
      </c>
      <c r="G27" s="34" t="str">
        <f aca="false">IFERROR(IF(ISNUMBER(SEARCH(Assumptions!$C$5,E27)),Assumptions!$D$5,IF(ISNUMBER(SEARCH(Assumptions!$C$6,E27)),Assumptions!$D$6,IF(ISNUMBER(SEARCH(Assumptions!$C$7,E27)),Assumptions!$D$7,"Other Services"))),"Other Services")</f>
        <v>Other Services</v>
      </c>
    </row>
    <row r="28" customFormat="false" ht="15" hidden="false" customHeight="true" outlineLevel="0" collapsed="false">
      <c r="A28" s="32" t="s">
        <v>336</v>
      </c>
      <c r="B28" s="32" t="s">
        <v>281</v>
      </c>
      <c r="C28" s="31" t="n">
        <v>46195</v>
      </c>
      <c r="D28" s="32" t="s">
        <v>326</v>
      </c>
      <c r="E28" s="32" t="s">
        <v>328</v>
      </c>
      <c r="F28" s="33" t="n">
        <v>2491.89</v>
      </c>
      <c r="G28" s="34" t="str">
        <f aca="false">IFERROR(IF(ISNUMBER(SEARCH(Assumptions!$C$5,E28)),Assumptions!$D$5,IF(ISNUMBER(SEARCH(Assumptions!$C$6,E28)),Assumptions!$D$6,IF(ISNUMBER(SEARCH(Assumptions!$C$7,E28)),Assumptions!$D$7,"Other Services"))),"Other Services")</f>
        <v>Other Services</v>
      </c>
    </row>
    <row r="29" customFormat="false" ht="15" hidden="false" customHeight="true" outlineLevel="0" collapsed="false">
      <c r="A29" s="32" t="s">
        <v>336</v>
      </c>
      <c r="B29" s="32" t="s">
        <v>281</v>
      </c>
      <c r="C29" s="31" t="n">
        <v>46178</v>
      </c>
      <c r="D29" s="32" t="s">
        <v>326</v>
      </c>
      <c r="E29" s="32" t="s">
        <v>331</v>
      </c>
      <c r="F29" s="33" t="n">
        <v>1706.63</v>
      </c>
      <c r="G29" s="34" t="str">
        <f aca="false">IFERROR(IF(ISNUMBER(SEARCH(Assumptions!$C$5,E29)),Assumptions!$D$5,IF(ISNUMBER(SEARCH(Assumptions!$C$6,E29)),Assumptions!$D$6,IF(ISNUMBER(SEARCH(Assumptions!$C$7,E29)),Assumptions!$D$7,"Other Services"))),"Other Services")</f>
        <v>Other Services</v>
      </c>
    </row>
    <row r="30" customFormat="false" ht="15" hidden="false" customHeight="true" outlineLevel="0" collapsed="false">
      <c r="A30" s="32" t="s">
        <v>336</v>
      </c>
      <c r="B30" s="32" t="s">
        <v>281</v>
      </c>
      <c r="C30" s="31" t="n">
        <v>46186</v>
      </c>
      <c r="D30" s="32" t="s">
        <v>326</v>
      </c>
      <c r="E30" s="32" t="s">
        <v>335</v>
      </c>
      <c r="F30" s="33" t="n">
        <v>1082.46</v>
      </c>
      <c r="G30" s="34" t="str">
        <f aca="false">IFERROR(IF(ISNUMBER(SEARCH(Assumptions!$C$5,E30)),Assumptions!$D$5,IF(ISNUMBER(SEARCH(Assumptions!$C$6,E30)),Assumptions!$D$6,IF(ISNUMBER(SEARCH(Assumptions!$C$7,E30)),Assumptions!$D$7,"Other Services"))),"Other Services")</f>
        <v>Development</v>
      </c>
    </row>
    <row r="31" customFormat="false" ht="15" hidden="false" customHeight="true" outlineLevel="0" collapsed="false">
      <c r="A31" s="32" t="s">
        <v>336</v>
      </c>
      <c r="B31" s="32" t="s">
        <v>281</v>
      </c>
      <c r="C31" s="31" t="n">
        <v>46188</v>
      </c>
      <c r="D31" s="32" t="s">
        <v>326</v>
      </c>
      <c r="E31" s="32" t="s">
        <v>330</v>
      </c>
      <c r="F31" s="33" t="n">
        <v>1580.4</v>
      </c>
      <c r="G31" s="34" t="str">
        <f aca="false">IFERROR(IF(ISNUMBER(SEARCH(Assumptions!$C$5,E31)),Assumptions!$D$5,IF(ISNUMBER(SEARCH(Assumptions!$C$6,E31)),Assumptions!$D$6,IF(ISNUMBER(SEARCH(Assumptions!$C$7,E31)),Assumptions!$D$7,"Other Services"))),"Other Services")</f>
        <v>Subscription</v>
      </c>
    </row>
    <row r="32" customFormat="false" ht="15" hidden="false" customHeight="true" outlineLevel="0" collapsed="false">
      <c r="A32" s="32" t="s">
        <v>336</v>
      </c>
      <c r="B32" s="32" t="s">
        <v>281</v>
      </c>
      <c r="C32" s="31" t="n">
        <v>46195</v>
      </c>
      <c r="D32" s="32" t="s">
        <v>326</v>
      </c>
      <c r="E32" s="32" t="s">
        <v>331</v>
      </c>
      <c r="F32" s="33" t="n">
        <v>2698.02</v>
      </c>
      <c r="G32" s="34" t="str">
        <f aca="false">IFERROR(IF(ISNUMBER(SEARCH(Assumptions!$C$5,E32)),Assumptions!$D$5,IF(ISNUMBER(SEARCH(Assumptions!$C$6,E32)),Assumptions!$D$6,IF(ISNUMBER(SEARCH(Assumptions!$C$7,E32)),Assumptions!$D$7,"Other Services"))),"Other Services")</f>
        <v>Other Services</v>
      </c>
    </row>
    <row r="33" customFormat="false" ht="15" hidden="false" customHeight="true" outlineLevel="0" collapsed="false">
      <c r="A33" s="32" t="s">
        <v>336</v>
      </c>
      <c r="B33" s="32" t="s">
        <v>281</v>
      </c>
      <c r="C33" s="31" t="n">
        <v>46180</v>
      </c>
      <c r="D33" s="32" t="s">
        <v>326</v>
      </c>
      <c r="E33" s="32" t="s">
        <v>328</v>
      </c>
      <c r="F33" s="33" t="n">
        <v>1144.57</v>
      </c>
      <c r="G33" s="34" t="str">
        <f aca="false">IFERROR(IF(ISNUMBER(SEARCH(Assumptions!$C$5,E33)),Assumptions!$D$5,IF(ISNUMBER(SEARCH(Assumptions!$C$6,E33)),Assumptions!$D$6,IF(ISNUMBER(SEARCH(Assumptions!$C$7,E33)),Assumptions!$D$7,"Other Services"))),"Other Services")</f>
        <v>Other Services</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C71"/>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2" width="22"/>
    <col collapsed="false" customWidth="true" hidden="false" outlineLevel="0" max="3" min="2" style="22" width="13"/>
    <col collapsed="false" customWidth="true" hidden="false" outlineLevel="0" max="4" min="4" style="22" width="12"/>
    <col collapsed="false" customWidth="true" hidden="false" outlineLevel="0" max="5" min="5" style="22" width="34"/>
    <col collapsed="false" customWidth="true" hidden="false" outlineLevel="0" max="6" min="6" style="22" width="12"/>
    <col collapsed="false" customWidth="true" hidden="false" outlineLevel="0" max="7" min="7" style="22" width="30"/>
    <col collapsed="false" customWidth="true" hidden="false" outlineLevel="0" max="8" min="8" style="22" width="14"/>
    <col collapsed="false" customWidth="true" hidden="false" outlineLevel="0" max="9" min="9" style="22" width="15"/>
    <col collapsed="false" customWidth="true" hidden="false" outlineLevel="0" max="10" min="10" style="22" width="14"/>
  </cols>
  <sheetData>
    <row r="1" customFormat="false" ht="15" hidden="false" customHeight="true" outlineLevel="0" collapsed="false">
      <c r="A1" s="42" t="s">
        <v>337</v>
      </c>
      <c r="B1" s="42"/>
      <c r="C1" s="42"/>
      <c r="D1" s="42"/>
      <c r="E1" s="42"/>
      <c r="F1" s="42"/>
      <c r="G1" s="42"/>
      <c r="H1" s="42"/>
      <c r="I1" s="42"/>
      <c r="J1" s="42"/>
      <c r="K1" s="42"/>
    </row>
    <row r="2" customFormat="false" ht="30" hidden="false" customHeight="true" outlineLevel="0" collapsed="false">
      <c r="A2" s="52" t="s">
        <v>338</v>
      </c>
      <c r="B2" s="52"/>
      <c r="C2" s="52"/>
      <c r="D2" s="52"/>
      <c r="E2" s="52"/>
      <c r="F2" s="52"/>
      <c r="G2" s="52"/>
      <c r="H2" s="52"/>
      <c r="I2" s="52"/>
      <c r="J2" s="52"/>
      <c r="K2" s="52"/>
    </row>
    <row r="3" customFormat="false" ht="21.75" hidden="false" customHeight="true" outlineLevel="0" collapsed="false">
      <c r="A3" s="30" t="s">
        <v>320</v>
      </c>
      <c r="B3" s="30" t="s">
        <v>231</v>
      </c>
      <c r="C3" s="30" t="s">
        <v>169</v>
      </c>
      <c r="D3" s="30" t="s">
        <v>232</v>
      </c>
      <c r="E3" s="30" t="s">
        <v>107</v>
      </c>
      <c r="F3" s="30" t="s">
        <v>172</v>
      </c>
      <c r="G3" s="30" t="s">
        <v>339</v>
      </c>
      <c r="H3" s="30" t="s">
        <v>174</v>
      </c>
      <c r="I3" s="30" t="s">
        <v>114</v>
      </c>
      <c r="J3" s="30" t="s">
        <v>115</v>
      </c>
    </row>
    <row r="4" customFormat="false" ht="15" hidden="false" customHeight="true" outlineLevel="0" collapsed="false">
      <c r="A4" s="32" t="s">
        <v>340</v>
      </c>
      <c r="B4" s="31" t="n">
        <v>46127</v>
      </c>
      <c r="C4" s="31" t="n">
        <v>46157</v>
      </c>
      <c r="D4" s="32" t="s">
        <v>341</v>
      </c>
      <c r="E4" s="32" t="s">
        <v>158</v>
      </c>
      <c r="F4" s="34" t="str">
        <f aca="false">IFERROR(VLOOKUP(E4,Assumptions!$G$5:$H$16,2,0),"Other")</f>
        <v>Singapore</v>
      </c>
      <c r="G4" s="32" t="s">
        <v>342</v>
      </c>
      <c r="H4" s="33" t="n">
        <v>2862.59</v>
      </c>
      <c r="I4" s="32" t="s">
        <v>196</v>
      </c>
      <c r="J4" s="34" t="str">
        <f aca="false">IFERROR(IF(ISNUMBER(SEARCH(Assumptions!$C$5,G4)),Assumptions!$D$5,IF(ISNUMBER(SEARCH(Assumptions!$C$6,G4)),Assumptions!$D$6,IF(ISNUMBER(SEARCH(Assumptions!$C$7,G4)),Assumptions!$D$7,"Other Services"))),"Other Services")</f>
        <v>WhatsApp</v>
      </c>
    </row>
    <row r="5" customFormat="false" ht="15" hidden="false" customHeight="true" outlineLevel="0" collapsed="false">
      <c r="A5" s="32" t="s">
        <v>343</v>
      </c>
      <c r="B5" s="31" t="n">
        <v>46118</v>
      </c>
      <c r="C5" s="31" t="n">
        <v>46148</v>
      </c>
      <c r="D5" s="32" t="s">
        <v>344</v>
      </c>
      <c r="E5" s="32" t="s">
        <v>130</v>
      </c>
      <c r="F5" s="34" t="str">
        <f aca="false">IFERROR(VLOOKUP(E5,Assumptions!$G$5:$H$16,2,0),"Other")</f>
        <v>UAE</v>
      </c>
      <c r="G5" s="32" t="s">
        <v>342</v>
      </c>
      <c r="H5" s="33" t="n">
        <v>10453.91</v>
      </c>
      <c r="I5" s="32" t="s">
        <v>120</v>
      </c>
      <c r="J5" s="34" t="str">
        <f aca="false">IFERROR(IF(ISNUMBER(SEARCH(Assumptions!$C$5,G5)),Assumptions!$D$5,IF(ISNUMBER(SEARCH(Assumptions!$C$6,G5)),Assumptions!$D$6,IF(ISNUMBER(SEARCH(Assumptions!$C$7,G5)),Assumptions!$D$7,"Other Services"))),"Other Services")</f>
        <v>WhatsApp</v>
      </c>
    </row>
    <row r="6" customFormat="false" ht="15" hidden="false" customHeight="true" outlineLevel="0" collapsed="false">
      <c r="A6" s="32" t="s">
        <v>345</v>
      </c>
      <c r="B6" s="31" t="n">
        <v>46118</v>
      </c>
      <c r="C6" s="31" t="n">
        <v>46148</v>
      </c>
      <c r="D6" s="32" t="s">
        <v>346</v>
      </c>
      <c r="E6" s="32" t="s">
        <v>148</v>
      </c>
      <c r="F6" s="34" t="str">
        <f aca="false">IFERROR(VLOOKUP(E6,Assumptions!$G$5:$H$16,2,0),"Other")</f>
        <v>UAE</v>
      </c>
      <c r="G6" s="32" t="s">
        <v>342</v>
      </c>
      <c r="H6" s="33" t="n">
        <v>10317.27</v>
      </c>
      <c r="I6" s="32" t="s">
        <v>199</v>
      </c>
      <c r="J6" s="34" t="str">
        <f aca="false">IFERROR(IF(ISNUMBER(SEARCH(Assumptions!$C$5,G6)),Assumptions!$D$5,IF(ISNUMBER(SEARCH(Assumptions!$C$6,G6)),Assumptions!$D$6,IF(ISNUMBER(SEARCH(Assumptions!$C$7,G6)),Assumptions!$D$7,"Other Services"))),"Other Services")</f>
        <v>WhatsApp</v>
      </c>
    </row>
    <row r="7" customFormat="false" ht="15" hidden="false" customHeight="true" outlineLevel="0" collapsed="false">
      <c r="A7" s="32" t="s">
        <v>347</v>
      </c>
      <c r="B7" s="31" t="n">
        <v>46132</v>
      </c>
      <c r="C7" s="31" t="n">
        <v>46162</v>
      </c>
      <c r="D7" s="32" t="s">
        <v>348</v>
      </c>
      <c r="E7" s="32" t="s">
        <v>148</v>
      </c>
      <c r="F7" s="34" t="str">
        <f aca="false">IFERROR(VLOOKUP(E7,Assumptions!$G$5:$H$16,2,0),"Other")</f>
        <v>UAE</v>
      </c>
      <c r="G7" s="32" t="s">
        <v>342</v>
      </c>
      <c r="H7" s="33" t="n">
        <v>11128.21</v>
      </c>
      <c r="I7" s="32" t="s">
        <v>199</v>
      </c>
      <c r="J7" s="34" t="str">
        <f aca="false">IFERROR(IF(ISNUMBER(SEARCH(Assumptions!$C$5,G7)),Assumptions!$D$5,IF(ISNUMBER(SEARCH(Assumptions!$C$6,G7)),Assumptions!$D$6,IF(ISNUMBER(SEARCH(Assumptions!$C$7,G7)),Assumptions!$D$7,"Other Services"))),"Other Services")</f>
        <v>WhatsApp</v>
      </c>
    </row>
    <row r="8" customFormat="false" ht="15" hidden="false" customHeight="true" outlineLevel="0" collapsed="false">
      <c r="A8" s="32" t="s">
        <v>349</v>
      </c>
      <c r="B8" s="31" t="n">
        <v>46117</v>
      </c>
      <c r="C8" s="31" t="n">
        <v>46147</v>
      </c>
      <c r="D8" s="32" t="s">
        <v>350</v>
      </c>
      <c r="E8" s="32" t="s">
        <v>148</v>
      </c>
      <c r="F8" s="34" t="str">
        <f aca="false">IFERROR(VLOOKUP(E8,Assumptions!$G$5:$H$16,2,0),"Other")</f>
        <v>UAE</v>
      </c>
      <c r="G8" s="32" t="s">
        <v>176</v>
      </c>
      <c r="H8" s="33" t="n">
        <v>1679.78</v>
      </c>
      <c r="I8" s="32" t="s">
        <v>120</v>
      </c>
      <c r="J8" s="34" t="str">
        <f aca="false">IFERROR(IF(ISNUMBER(SEARCH(Assumptions!$C$5,G8)),Assumptions!$D$5,IF(ISNUMBER(SEARCH(Assumptions!$C$6,G8)),Assumptions!$D$6,IF(ISNUMBER(SEARCH(Assumptions!$C$7,G8)),Assumptions!$D$7,"Other Services"))),"Other Services")</f>
        <v>Subscription</v>
      </c>
    </row>
    <row r="9" customFormat="false" ht="15" hidden="false" customHeight="true" outlineLevel="0" collapsed="false">
      <c r="A9" s="32" t="s">
        <v>351</v>
      </c>
      <c r="B9" s="31" t="n">
        <v>46144</v>
      </c>
      <c r="C9" s="31" t="n">
        <v>46174</v>
      </c>
      <c r="D9" s="32" t="s">
        <v>352</v>
      </c>
      <c r="E9" s="32" t="s">
        <v>130</v>
      </c>
      <c r="F9" s="34" t="str">
        <f aca="false">IFERROR(VLOOKUP(E9,Assumptions!$G$5:$H$16,2,0),"Other")</f>
        <v>UAE</v>
      </c>
      <c r="G9" s="32" t="s">
        <v>195</v>
      </c>
      <c r="H9" s="33" t="n">
        <v>13175.39</v>
      </c>
      <c r="I9" s="32" t="s">
        <v>196</v>
      </c>
      <c r="J9" s="34" t="str">
        <f aca="false">IFERROR(IF(ISNUMBER(SEARCH(Assumptions!$C$5,G9)),Assumptions!$D$5,IF(ISNUMBER(SEARCH(Assumptions!$C$6,G9)),Assumptions!$D$6,IF(ISNUMBER(SEARCH(Assumptions!$C$7,G9)),Assumptions!$D$7,"Other Services"))),"Other Services")</f>
        <v>Subscription</v>
      </c>
    </row>
    <row r="10" customFormat="false" ht="15" hidden="false" customHeight="true" outlineLevel="0" collapsed="false">
      <c r="A10" s="32" t="s">
        <v>353</v>
      </c>
      <c r="B10" s="31" t="n">
        <v>46151</v>
      </c>
      <c r="C10" s="31" t="n">
        <v>46181</v>
      </c>
      <c r="D10" s="32" t="s">
        <v>354</v>
      </c>
      <c r="E10" s="32" t="s">
        <v>132</v>
      </c>
      <c r="F10" s="34" t="str">
        <f aca="false">IFERROR(VLOOKUP(E10,Assumptions!$G$5:$H$16,2,0),"Other")</f>
        <v>Singapore</v>
      </c>
      <c r="G10" s="32" t="s">
        <v>200</v>
      </c>
      <c r="H10" s="33" t="n">
        <v>11937.43</v>
      </c>
      <c r="I10" s="32" t="s">
        <v>120</v>
      </c>
      <c r="J10" s="34" t="str">
        <f aca="false">IFERROR(IF(ISNUMBER(SEARCH(Assumptions!$C$5,G10)),Assumptions!$D$5,IF(ISNUMBER(SEARCH(Assumptions!$C$6,G10)),Assumptions!$D$6,IF(ISNUMBER(SEARCH(Assumptions!$C$7,G10)),Assumptions!$D$7,"Other Services"))),"Other Services")</f>
        <v>WhatsApp</v>
      </c>
    </row>
    <row r="11" customFormat="false" ht="15" hidden="false" customHeight="true" outlineLevel="0" collapsed="false">
      <c r="A11" s="32" t="s">
        <v>355</v>
      </c>
      <c r="B11" s="31" t="n">
        <v>46149</v>
      </c>
      <c r="C11" s="31" t="n">
        <v>46179</v>
      </c>
      <c r="D11" s="32" t="s">
        <v>356</v>
      </c>
      <c r="E11" s="32" t="s">
        <v>132</v>
      </c>
      <c r="F11" s="34" t="str">
        <f aca="false">IFERROR(VLOOKUP(E11,Assumptions!$G$5:$H$16,2,0),"Other")</f>
        <v>Singapore</v>
      </c>
      <c r="G11" s="32" t="s">
        <v>198</v>
      </c>
      <c r="H11" s="33" t="n">
        <v>2815.34</v>
      </c>
      <c r="I11" s="32" t="s">
        <v>120</v>
      </c>
      <c r="J11" s="34" t="str">
        <f aca="false">IFERROR(IF(ISNUMBER(SEARCH(Assumptions!$C$5,G11)),Assumptions!$D$5,IF(ISNUMBER(SEARCH(Assumptions!$C$6,G11)),Assumptions!$D$6,IF(ISNUMBER(SEARCH(Assumptions!$C$7,G11)),Assumptions!$D$7,"Other Services"))),"Other Services")</f>
        <v>Development</v>
      </c>
    </row>
    <row r="12" customFormat="false" ht="15" hidden="false" customHeight="true" outlineLevel="0" collapsed="false">
      <c r="A12" s="32" t="s">
        <v>357</v>
      </c>
      <c r="B12" s="31" t="n">
        <v>46147</v>
      </c>
      <c r="C12" s="31" t="n">
        <v>46177</v>
      </c>
      <c r="D12" s="32" t="s">
        <v>358</v>
      </c>
      <c r="E12" s="32" t="s">
        <v>158</v>
      </c>
      <c r="F12" s="34" t="str">
        <f aca="false">IFERROR(VLOOKUP(E12,Assumptions!$G$5:$H$16,2,0),"Other")</f>
        <v>Singapore</v>
      </c>
      <c r="G12" s="32" t="s">
        <v>198</v>
      </c>
      <c r="H12" s="33" t="n">
        <v>21750.95</v>
      </c>
      <c r="I12" s="32" t="s">
        <v>199</v>
      </c>
      <c r="J12" s="34" t="str">
        <f aca="false">IFERROR(IF(ISNUMBER(SEARCH(Assumptions!$C$5,G12)),Assumptions!$D$5,IF(ISNUMBER(SEARCH(Assumptions!$C$6,G12)),Assumptions!$D$6,IF(ISNUMBER(SEARCH(Assumptions!$C$7,G12)),Assumptions!$D$7,"Other Services"))),"Other Services")</f>
        <v>Development</v>
      </c>
    </row>
    <row r="13" customFormat="false" ht="15" hidden="false" customHeight="true" outlineLevel="0" collapsed="false">
      <c r="A13" s="32" t="s">
        <v>359</v>
      </c>
      <c r="B13" s="31" t="n">
        <v>46152</v>
      </c>
      <c r="C13" s="31" t="n">
        <v>46182</v>
      </c>
      <c r="D13" s="32" t="s">
        <v>360</v>
      </c>
      <c r="E13" s="32" t="s">
        <v>132</v>
      </c>
      <c r="F13" s="34" t="str">
        <f aca="false">IFERROR(VLOOKUP(E13,Assumptions!$G$5:$H$16,2,0),"Other")</f>
        <v>Singapore</v>
      </c>
      <c r="G13" s="32" t="s">
        <v>198</v>
      </c>
      <c r="H13" s="33" t="n">
        <v>14640.03</v>
      </c>
      <c r="I13" s="32" t="s">
        <v>196</v>
      </c>
      <c r="J13" s="34" t="str">
        <f aca="false">IFERROR(IF(ISNUMBER(SEARCH(Assumptions!$C$5,G13)),Assumptions!$D$5,IF(ISNUMBER(SEARCH(Assumptions!$C$6,G13)),Assumptions!$D$6,IF(ISNUMBER(SEARCH(Assumptions!$C$7,G13)),Assumptions!$D$7,"Other Services"))),"Other Services")</f>
        <v>Development</v>
      </c>
    </row>
    <row r="14" customFormat="false" ht="15" hidden="false" customHeight="true" outlineLevel="0" collapsed="false">
      <c r="A14" s="32" t="s">
        <v>361</v>
      </c>
      <c r="B14" s="31" t="n">
        <v>46190</v>
      </c>
      <c r="C14" s="31" t="n">
        <v>46220</v>
      </c>
      <c r="D14" s="32" t="s">
        <v>362</v>
      </c>
      <c r="E14" s="32" t="s">
        <v>132</v>
      </c>
      <c r="F14" s="34" t="str">
        <f aca="false">IFERROR(VLOOKUP(E14,Assumptions!$G$5:$H$16,2,0),"Other")</f>
        <v>Singapore</v>
      </c>
      <c r="G14" s="32" t="s">
        <v>208</v>
      </c>
      <c r="H14" s="33" t="n">
        <v>13168.55</v>
      </c>
      <c r="I14" s="32" t="s">
        <v>199</v>
      </c>
      <c r="J14" s="34" t="str">
        <f aca="false">IFERROR(IF(ISNUMBER(SEARCH(Assumptions!$C$5,G14)),Assumptions!$D$5,IF(ISNUMBER(SEARCH(Assumptions!$C$6,G14)),Assumptions!$D$6,IF(ISNUMBER(SEARCH(Assumptions!$C$7,G14)),Assumptions!$D$7,"Other Services"))),"Other Services")</f>
        <v>Development</v>
      </c>
    </row>
    <row r="15" customFormat="false" ht="15" hidden="false" customHeight="true" outlineLevel="0" collapsed="false">
      <c r="A15" s="32" t="s">
        <v>363</v>
      </c>
      <c r="B15" s="31" t="n">
        <v>46178</v>
      </c>
      <c r="C15" s="31" t="n">
        <v>46208</v>
      </c>
      <c r="D15" s="32" t="s">
        <v>364</v>
      </c>
      <c r="E15" s="32" t="s">
        <v>148</v>
      </c>
      <c r="F15" s="34" t="str">
        <f aca="false">IFERROR(VLOOKUP(E15,Assumptions!$G$5:$H$16,2,0),"Other")</f>
        <v>UAE</v>
      </c>
      <c r="G15" s="32" t="s">
        <v>206</v>
      </c>
      <c r="H15" s="33" t="n">
        <v>2303.99</v>
      </c>
      <c r="I15" s="32" t="s">
        <v>199</v>
      </c>
      <c r="J15" s="34" t="str">
        <f aca="false">IFERROR(IF(ISNUMBER(SEARCH(Assumptions!$C$5,G15)),Assumptions!$D$5,IF(ISNUMBER(SEARCH(Assumptions!$C$6,G15)),Assumptions!$D$6,IF(ISNUMBER(SEARCH(Assumptions!$C$7,G15)),Assumptions!$D$7,"Other Services"))),"Other Services")</f>
        <v>WhatsApp</v>
      </c>
    </row>
    <row r="16" customFormat="false" ht="15" hidden="false" customHeight="true" outlineLevel="0" collapsed="false">
      <c r="A16" s="32" t="s">
        <v>365</v>
      </c>
      <c r="B16" s="31" t="n">
        <v>46192</v>
      </c>
      <c r="C16" s="31" t="n">
        <v>46222</v>
      </c>
      <c r="D16" s="32" t="s">
        <v>366</v>
      </c>
      <c r="E16" s="32" t="s">
        <v>148</v>
      </c>
      <c r="F16" s="34" t="str">
        <f aca="false">IFERROR(VLOOKUP(E16,Assumptions!$G$5:$H$16,2,0),"Other")</f>
        <v>UAE</v>
      </c>
      <c r="G16" s="32" t="s">
        <v>208</v>
      </c>
      <c r="H16" s="33" t="n">
        <v>19304.61</v>
      </c>
      <c r="I16" s="32" t="s">
        <v>120</v>
      </c>
      <c r="J16" s="34" t="str">
        <f aca="false">IFERROR(IF(ISNUMBER(SEARCH(Assumptions!$C$5,G16)),Assumptions!$D$5,IF(ISNUMBER(SEARCH(Assumptions!$C$6,G16)),Assumptions!$D$6,IF(ISNUMBER(SEARCH(Assumptions!$C$7,G16)),Assumptions!$D$7,"Other Services"))),"Other Services")</f>
        <v>Development</v>
      </c>
    </row>
    <row r="17" customFormat="false" ht="15" hidden="false" customHeight="true" outlineLevel="0" collapsed="false">
      <c r="A17" s="32" t="s">
        <v>367</v>
      </c>
      <c r="B17" s="31" t="n">
        <v>46186</v>
      </c>
      <c r="C17" s="31" t="n">
        <v>46216</v>
      </c>
      <c r="D17" s="32" t="s">
        <v>368</v>
      </c>
      <c r="E17" s="32" t="s">
        <v>158</v>
      </c>
      <c r="F17" s="34" t="str">
        <f aca="false">IFERROR(VLOOKUP(E17,Assumptions!$G$5:$H$16,2,0),"Other")</f>
        <v>Singapore</v>
      </c>
      <c r="G17" s="32" t="s">
        <v>208</v>
      </c>
      <c r="H17" s="33" t="n">
        <v>15566.46</v>
      </c>
      <c r="I17" s="32" t="s">
        <v>120</v>
      </c>
      <c r="J17" s="34" t="str">
        <f aca="false">IFERROR(IF(ISNUMBER(SEARCH(Assumptions!$C$5,G17)),Assumptions!$D$5,IF(ISNUMBER(SEARCH(Assumptions!$C$6,G17)),Assumptions!$D$6,IF(ISNUMBER(SEARCH(Assumptions!$C$7,G17)),Assumptions!$D$7,"Other Services"))),"Other Services")</f>
        <v>Development</v>
      </c>
    </row>
    <row r="18" customFormat="false" ht="15" hidden="false" customHeight="true" outlineLevel="0" collapsed="false">
      <c r="A18" s="32" t="s">
        <v>369</v>
      </c>
      <c r="B18" s="31" t="n">
        <v>46184</v>
      </c>
      <c r="C18" s="31" t="n">
        <v>46214</v>
      </c>
      <c r="D18" s="32" t="s">
        <v>370</v>
      </c>
      <c r="E18" s="32" t="s">
        <v>124</v>
      </c>
      <c r="F18" s="34" t="str">
        <f aca="false">IFERROR(VLOOKUP(E18,Assumptions!$G$5:$H$16,2,0),"Other")</f>
        <v>UAE</v>
      </c>
      <c r="G18" s="32" t="s">
        <v>209</v>
      </c>
      <c r="H18" s="33" t="n">
        <v>21404.62</v>
      </c>
      <c r="I18" s="32" t="s">
        <v>120</v>
      </c>
      <c r="J18" s="34" t="str">
        <f aca="false">IFERROR(IF(ISNUMBER(SEARCH(Assumptions!$C$5,G18)),Assumptions!$D$5,IF(ISNUMBER(SEARCH(Assumptions!$C$6,G18)),Assumptions!$D$6,IF(ISNUMBER(SEARCH(Assumptions!$C$7,G18)),Assumptions!$D$7,"Other Services"))),"Other Services")</f>
        <v>Subscription</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4C3C"/>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2" width="20"/>
    <col collapsed="false" customWidth="true" hidden="false" outlineLevel="0" max="3" min="2" style="22" width="13"/>
    <col collapsed="false" customWidth="true" hidden="false" outlineLevel="0" max="4" min="4" style="22" width="12"/>
    <col collapsed="false" customWidth="true" hidden="false" outlineLevel="0" max="5" min="5" style="22" width="28"/>
    <col collapsed="false" customWidth="true" hidden="false" outlineLevel="0" max="6" min="6" style="22" width="32"/>
    <col collapsed="false" customWidth="true" hidden="false" outlineLevel="0" max="7" min="7" style="22" width="14"/>
    <col collapsed="false" customWidth="true" hidden="false" outlineLevel="0" max="8" min="8" style="22" width="15"/>
    <col collapsed="false" customWidth="true" hidden="false" outlineLevel="0" max="9" min="9" style="22" width="14"/>
  </cols>
  <sheetData>
    <row r="1" customFormat="false" ht="15" hidden="false" customHeight="true" outlineLevel="0" collapsed="false">
      <c r="A1" s="42" t="s">
        <v>371</v>
      </c>
      <c r="B1" s="42"/>
      <c r="C1" s="42"/>
      <c r="D1" s="42"/>
      <c r="E1" s="42"/>
      <c r="F1" s="42"/>
      <c r="G1" s="42"/>
      <c r="H1" s="42"/>
      <c r="I1" s="42"/>
      <c r="J1" s="42"/>
      <c r="K1" s="42"/>
    </row>
    <row r="2" customFormat="false" ht="30" hidden="false" customHeight="true" outlineLevel="0" collapsed="false">
      <c r="A2" s="52" t="s">
        <v>372</v>
      </c>
      <c r="B2" s="52"/>
      <c r="C2" s="52"/>
      <c r="D2" s="52"/>
      <c r="E2" s="52"/>
      <c r="F2" s="52"/>
      <c r="G2" s="52"/>
      <c r="H2" s="52"/>
      <c r="I2" s="52"/>
      <c r="J2" s="52"/>
      <c r="K2" s="52"/>
    </row>
    <row r="3" customFormat="false" ht="21.75" hidden="false" customHeight="true" outlineLevel="0" collapsed="false">
      <c r="A3" s="30" t="s">
        <v>320</v>
      </c>
      <c r="B3" s="30" t="s">
        <v>231</v>
      </c>
      <c r="C3" s="30" t="s">
        <v>169</v>
      </c>
      <c r="D3" s="30" t="s">
        <v>232</v>
      </c>
      <c r="E3" s="30" t="s">
        <v>373</v>
      </c>
      <c r="F3" s="30" t="s">
        <v>339</v>
      </c>
      <c r="G3" s="30" t="s">
        <v>174</v>
      </c>
      <c r="H3" s="30" t="s">
        <v>114</v>
      </c>
      <c r="I3" s="30" t="s">
        <v>115</v>
      </c>
    </row>
    <row r="4" customFormat="false" ht="15" hidden="false" customHeight="true" outlineLevel="0" collapsed="false">
      <c r="A4" s="32" t="s">
        <v>374</v>
      </c>
      <c r="B4" s="31" t="n">
        <v>46127</v>
      </c>
      <c r="C4" s="31" t="n">
        <v>46142</v>
      </c>
      <c r="D4" s="32" t="s">
        <v>375</v>
      </c>
      <c r="E4" s="32" t="s">
        <v>376</v>
      </c>
      <c r="F4" s="32" t="s">
        <v>377</v>
      </c>
      <c r="G4" s="33" t="n">
        <v>3953.18</v>
      </c>
      <c r="H4" s="32" t="s">
        <v>120</v>
      </c>
      <c r="I4" s="34" t="str">
        <f aca="false">IFERROR(IF(ISNUMBER(SEARCH(Assumptions!$C$5,F4)),Assumptions!$D$5,IF(ISNUMBER(SEARCH(Assumptions!$C$6,F4)),Assumptions!$D$6,IF(ISNUMBER(SEARCH(Assumptions!$C$7,F4)),Assumptions!$D$7,"Other Services"))),"Other Services")</f>
        <v>Other Services</v>
      </c>
    </row>
    <row r="5" customFormat="false" ht="15" hidden="false" customHeight="true" outlineLevel="0" collapsed="false">
      <c r="A5" s="32" t="s">
        <v>378</v>
      </c>
      <c r="B5" s="31" t="n">
        <v>46115</v>
      </c>
      <c r="C5" s="31" t="n">
        <v>46130</v>
      </c>
      <c r="D5" s="32" t="s">
        <v>379</v>
      </c>
      <c r="E5" s="32" t="s">
        <v>380</v>
      </c>
      <c r="F5" s="32" t="s">
        <v>381</v>
      </c>
      <c r="G5" s="33" t="n">
        <v>3126.2</v>
      </c>
      <c r="H5" s="32" t="s">
        <v>120</v>
      </c>
      <c r="I5" s="34" t="str">
        <f aca="false">IFERROR(IF(ISNUMBER(SEARCH(Assumptions!$C$5,F5)),Assumptions!$D$5,IF(ISNUMBER(SEARCH(Assumptions!$C$6,F5)),Assumptions!$D$6,IF(ISNUMBER(SEARCH(Assumptions!$C$7,F5)),Assumptions!$D$7,"Other Services"))),"Other Services")</f>
        <v>WhatsApp</v>
      </c>
    </row>
    <row r="6" customFormat="false" ht="15" hidden="false" customHeight="true" outlineLevel="0" collapsed="false">
      <c r="A6" s="32" t="s">
        <v>382</v>
      </c>
      <c r="B6" s="31" t="n">
        <v>46136</v>
      </c>
      <c r="C6" s="31" t="n">
        <v>46151</v>
      </c>
      <c r="D6" s="32" t="s">
        <v>383</v>
      </c>
      <c r="E6" s="32" t="s">
        <v>376</v>
      </c>
      <c r="F6" s="32" t="s">
        <v>377</v>
      </c>
      <c r="G6" s="33" t="n">
        <v>3557.08</v>
      </c>
      <c r="H6" s="32" t="s">
        <v>120</v>
      </c>
      <c r="I6" s="34" t="str">
        <f aca="false">IFERROR(IF(ISNUMBER(SEARCH(Assumptions!$C$5,F6)),Assumptions!$D$5,IF(ISNUMBER(SEARCH(Assumptions!$C$6,F6)),Assumptions!$D$6,IF(ISNUMBER(SEARCH(Assumptions!$C$7,F6)),Assumptions!$D$7,"Other Services"))),"Other Services")</f>
        <v>Other Services</v>
      </c>
    </row>
    <row r="7" customFormat="false" ht="15" hidden="false" customHeight="true" outlineLevel="0" collapsed="false">
      <c r="A7" s="32" t="s">
        <v>384</v>
      </c>
      <c r="B7" s="31" t="n">
        <v>46115</v>
      </c>
      <c r="C7" s="31" t="n">
        <v>46130</v>
      </c>
      <c r="D7" s="32" t="s">
        <v>385</v>
      </c>
      <c r="E7" s="32" t="s">
        <v>380</v>
      </c>
      <c r="F7" s="32" t="s">
        <v>381</v>
      </c>
      <c r="G7" s="33" t="n">
        <v>8804.58</v>
      </c>
      <c r="H7" s="32" t="s">
        <v>120</v>
      </c>
      <c r="I7" s="34" t="str">
        <f aca="false">IFERROR(IF(ISNUMBER(SEARCH(Assumptions!$C$5,F7)),Assumptions!$D$5,IF(ISNUMBER(SEARCH(Assumptions!$C$6,F7)),Assumptions!$D$6,IF(ISNUMBER(SEARCH(Assumptions!$C$7,F7)),Assumptions!$D$7,"Other Services"))),"Other Services")</f>
        <v>WhatsApp</v>
      </c>
    </row>
    <row r="8" customFormat="false" ht="15" hidden="false" customHeight="true" outlineLevel="0" collapsed="false">
      <c r="A8" s="32" t="s">
        <v>386</v>
      </c>
      <c r="B8" s="31" t="n">
        <v>46148</v>
      </c>
      <c r="C8" s="31" t="n">
        <v>46163</v>
      </c>
      <c r="D8" s="32" t="s">
        <v>387</v>
      </c>
      <c r="E8" s="32" t="s">
        <v>388</v>
      </c>
      <c r="F8" s="32" t="s">
        <v>389</v>
      </c>
      <c r="G8" s="33" t="n">
        <v>4441.12</v>
      </c>
      <c r="H8" s="32" t="s">
        <v>196</v>
      </c>
      <c r="I8" s="34" t="str">
        <f aca="false">IFERROR(IF(ISNUMBER(SEARCH(Assumptions!$C$5,F8)),Assumptions!$D$5,IF(ISNUMBER(SEARCH(Assumptions!$C$6,F8)),Assumptions!$D$6,IF(ISNUMBER(SEARCH(Assumptions!$C$7,F8)),Assumptions!$D$7,"Other Services"))),"Other Services")</f>
        <v>Other Services</v>
      </c>
    </row>
    <row r="9" customFormat="false" ht="15" hidden="false" customHeight="true" outlineLevel="0" collapsed="false">
      <c r="A9" s="32" t="s">
        <v>390</v>
      </c>
      <c r="B9" s="31" t="n">
        <v>46165</v>
      </c>
      <c r="C9" s="31" t="n">
        <v>46180</v>
      </c>
      <c r="D9" s="32" t="s">
        <v>391</v>
      </c>
      <c r="E9" s="32" t="s">
        <v>392</v>
      </c>
      <c r="F9" s="32" t="s">
        <v>393</v>
      </c>
      <c r="G9" s="33" t="n">
        <v>5529.73</v>
      </c>
      <c r="H9" s="32" t="s">
        <v>120</v>
      </c>
      <c r="I9" s="34" t="str">
        <f aca="false">IFERROR(IF(ISNUMBER(SEARCH(Assumptions!$C$5,F9)),Assumptions!$D$5,IF(ISNUMBER(SEARCH(Assumptions!$C$6,F9)),Assumptions!$D$6,IF(ISNUMBER(SEARCH(Assumptions!$C$7,F9)),Assumptions!$D$7,"Other Services"))),"Other Services")</f>
        <v>Other Services</v>
      </c>
    </row>
    <row r="10" customFormat="false" ht="15" hidden="false" customHeight="true" outlineLevel="0" collapsed="false">
      <c r="A10" s="32" t="s">
        <v>394</v>
      </c>
      <c r="B10" s="31" t="n">
        <v>46161</v>
      </c>
      <c r="C10" s="31" t="n">
        <v>46176</v>
      </c>
      <c r="D10" s="32" t="s">
        <v>395</v>
      </c>
      <c r="E10" s="32" t="s">
        <v>392</v>
      </c>
      <c r="F10" s="32" t="s">
        <v>393</v>
      </c>
      <c r="G10" s="33" t="n">
        <v>4149.25</v>
      </c>
      <c r="H10" s="32" t="s">
        <v>196</v>
      </c>
      <c r="I10" s="34" t="str">
        <f aca="false">IFERROR(IF(ISNUMBER(SEARCH(Assumptions!$C$5,F10)),Assumptions!$D$5,IF(ISNUMBER(SEARCH(Assumptions!$C$6,F10)),Assumptions!$D$6,IF(ISNUMBER(SEARCH(Assumptions!$C$7,F10)),Assumptions!$D$7,"Other Services"))),"Other Services")</f>
        <v>Other Services</v>
      </c>
    </row>
    <row r="11" customFormat="false" ht="15" hidden="false" customHeight="true" outlineLevel="0" collapsed="false">
      <c r="A11" s="32" t="s">
        <v>396</v>
      </c>
      <c r="B11" s="31" t="n">
        <v>46162</v>
      </c>
      <c r="C11" s="31" t="n">
        <v>46177</v>
      </c>
      <c r="D11" s="32" t="s">
        <v>397</v>
      </c>
      <c r="E11" s="32" t="s">
        <v>388</v>
      </c>
      <c r="F11" s="32" t="s">
        <v>389</v>
      </c>
      <c r="G11" s="33" t="n">
        <v>3190.1</v>
      </c>
      <c r="H11" s="32" t="s">
        <v>120</v>
      </c>
      <c r="I11" s="34" t="str">
        <f aca="false">IFERROR(IF(ISNUMBER(SEARCH(Assumptions!$C$5,F11)),Assumptions!$D$5,IF(ISNUMBER(SEARCH(Assumptions!$C$6,F11)),Assumptions!$D$6,IF(ISNUMBER(SEARCH(Assumptions!$C$7,F11)),Assumptions!$D$7,"Other Services"))),"Other Services")</f>
        <v>Other Services</v>
      </c>
    </row>
    <row r="12" customFormat="false" ht="15" hidden="false" customHeight="true" outlineLevel="0" collapsed="false">
      <c r="A12" s="32" t="s">
        <v>398</v>
      </c>
      <c r="B12" s="31" t="n">
        <v>46175</v>
      </c>
      <c r="C12" s="31" t="n">
        <v>46190</v>
      </c>
      <c r="D12" s="32" t="s">
        <v>399</v>
      </c>
      <c r="E12" s="32" t="s">
        <v>376</v>
      </c>
      <c r="F12" s="32" t="s">
        <v>400</v>
      </c>
      <c r="G12" s="33" t="n">
        <v>2783.47</v>
      </c>
      <c r="H12" s="32" t="s">
        <v>120</v>
      </c>
      <c r="I12" s="34" t="str">
        <f aca="false">IFERROR(IF(ISNUMBER(SEARCH(Assumptions!$C$5,F12)),Assumptions!$D$5,IF(ISNUMBER(SEARCH(Assumptions!$C$6,F12)),Assumptions!$D$6,IF(ISNUMBER(SEARCH(Assumptions!$C$7,F12)),Assumptions!$D$7,"Other Services"))),"Other Services")</f>
        <v>Other Services</v>
      </c>
    </row>
    <row r="13" customFormat="false" ht="15" hidden="false" customHeight="true" outlineLevel="0" collapsed="false">
      <c r="A13" s="32" t="s">
        <v>401</v>
      </c>
      <c r="B13" s="31" t="n">
        <v>46177</v>
      </c>
      <c r="C13" s="31" t="n">
        <v>46192</v>
      </c>
      <c r="D13" s="32" t="s">
        <v>402</v>
      </c>
      <c r="E13" s="32" t="s">
        <v>380</v>
      </c>
      <c r="F13" s="32" t="s">
        <v>403</v>
      </c>
      <c r="G13" s="33" t="n">
        <v>5469.6</v>
      </c>
      <c r="H13" s="32" t="s">
        <v>120</v>
      </c>
      <c r="I13" s="34" t="str">
        <f aca="false">IFERROR(IF(ISNUMBER(SEARCH(Assumptions!$C$5,F13)),Assumptions!$D$5,IF(ISNUMBER(SEARCH(Assumptions!$C$6,F13)),Assumptions!$D$6,IF(ISNUMBER(SEARCH(Assumptions!$C$7,F13)),Assumptions!$D$7,"Other Services"))),"Other Services")</f>
        <v>WhatsApp</v>
      </c>
    </row>
    <row r="14" customFormat="false" ht="15" hidden="false" customHeight="true" outlineLevel="0" collapsed="false">
      <c r="A14" s="32" t="s">
        <v>404</v>
      </c>
      <c r="B14" s="31" t="n">
        <v>46196</v>
      </c>
      <c r="C14" s="31" t="n">
        <v>46211</v>
      </c>
      <c r="D14" s="32" t="s">
        <v>405</v>
      </c>
      <c r="E14" s="32" t="s">
        <v>392</v>
      </c>
      <c r="F14" s="32" t="s">
        <v>406</v>
      </c>
      <c r="G14" s="33" t="n">
        <v>4267.03</v>
      </c>
      <c r="H14" s="32" t="s">
        <v>120</v>
      </c>
      <c r="I14" s="34" t="str">
        <f aca="false">IFERROR(IF(ISNUMBER(SEARCH(Assumptions!$C$5,F14)),Assumptions!$D$5,IF(ISNUMBER(SEARCH(Assumptions!$C$6,F14)),Assumptions!$D$6,IF(ISNUMBER(SEARCH(Assumptions!$C$7,F14)),Assumptions!$D$7,"Other Services"))),"Other Services")</f>
        <v>Other Services</v>
      </c>
    </row>
    <row r="15" customFormat="false" ht="15" hidden="false" customHeight="true" outlineLevel="0" collapsed="false">
      <c r="A15" s="32" t="s">
        <v>407</v>
      </c>
      <c r="B15" s="31" t="n">
        <v>46181</v>
      </c>
      <c r="C15" s="31" t="n">
        <v>46196</v>
      </c>
      <c r="D15" s="32" t="s">
        <v>408</v>
      </c>
      <c r="E15" s="32" t="s">
        <v>376</v>
      </c>
      <c r="F15" s="32" t="s">
        <v>400</v>
      </c>
      <c r="G15" s="33" t="n">
        <v>3442.89</v>
      </c>
      <c r="H15" s="32" t="s">
        <v>196</v>
      </c>
      <c r="I15" s="34" t="str">
        <f aca="false">IFERROR(IF(ISNUMBER(SEARCH(Assumptions!$C$5,F15)),Assumptions!$D$5,IF(ISNUMBER(SEARCH(Assumptions!$C$6,F15)),Assumptions!$D$6,IF(ISNUMBER(SEARCH(Assumptions!$C$7,F15)),Assumptions!$D$7,"Other Services"))),"Other Services")</f>
        <v>Other Services</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8D"/>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2" width="13"/>
    <col collapsed="false" customWidth="true" hidden="false" outlineLevel="0" max="2" min="2" style="22" width="26"/>
    <col collapsed="false" customWidth="true" hidden="false" outlineLevel="0" max="3" min="3" style="22" width="16"/>
    <col collapsed="false" customWidth="true" hidden="false" outlineLevel="0" max="4" min="4" style="22" width="14"/>
    <col collapsed="false" customWidth="true" hidden="false" outlineLevel="0" max="5" min="5" style="22" width="13"/>
    <col collapsed="false" customWidth="true" hidden="false" outlineLevel="0" max="6" min="6" style="22" width="22"/>
    <col collapsed="false" customWidth="true" hidden="false" outlineLevel="0" max="7" min="7" style="22" width="20"/>
    <col collapsed="false" customWidth="true" hidden="false" outlineLevel="0" max="8" min="8" style="22" width="34"/>
  </cols>
  <sheetData>
    <row r="1" customFormat="false" ht="15" hidden="false" customHeight="true" outlineLevel="0" collapsed="false">
      <c r="A1" s="42" t="s">
        <v>409</v>
      </c>
      <c r="B1" s="42"/>
      <c r="C1" s="42"/>
      <c r="D1" s="42"/>
      <c r="E1" s="42"/>
      <c r="F1" s="42"/>
      <c r="G1" s="42"/>
      <c r="H1" s="42"/>
      <c r="I1" s="42"/>
      <c r="J1" s="42"/>
      <c r="K1" s="42"/>
    </row>
    <row r="2" customFormat="false" ht="30" hidden="false" customHeight="true" outlineLevel="0" collapsed="false">
      <c r="A2" s="52" t="s">
        <v>410</v>
      </c>
      <c r="B2" s="52"/>
      <c r="C2" s="52"/>
      <c r="D2" s="52"/>
      <c r="E2" s="52"/>
      <c r="F2" s="52"/>
      <c r="G2" s="52"/>
      <c r="H2" s="52"/>
      <c r="I2" s="52"/>
      <c r="J2" s="52"/>
      <c r="K2" s="52"/>
    </row>
    <row r="3" customFormat="false" ht="21.75" hidden="false" customHeight="true" outlineLevel="0" collapsed="false">
      <c r="A3" s="30" t="s">
        <v>411</v>
      </c>
      <c r="B3" s="30" t="s">
        <v>412</v>
      </c>
      <c r="C3" s="30" t="s">
        <v>413</v>
      </c>
      <c r="D3" s="30" t="s">
        <v>414</v>
      </c>
      <c r="E3" s="30" t="s">
        <v>415</v>
      </c>
      <c r="F3" s="30" t="s">
        <v>416</v>
      </c>
      <c r="G3" s="30" t="s">
        <v>417</v>
      </c>
      <c r="H3" s="30" t="s">
        <v>418</v>
      </c>
    </row>
    <row r="4" customFormat="false" ht="15" hidden="false" customHeight="true" outlineLevel="0" collapsed="false">
      <c r="A4" s="31" t="n">
        <v>46204</v>
      </c>
      <c r="B4" s="32" t="s">
        <v>419</v>
      </c>
      <c r="C4" s="32" t="s">
        <v>420</v>
      </c>
      <c r="D4" s="32" t="s">
        <v>279</v>
      </c>
      <c r="E4" s="32" t="n">
        <v>20</v>
      </c>
      <c r="F4" s="32" t="s">
        <v>421</v>
      </c>
      <c r="G4" s="32" t="s">
        <v>422</v>
      </c>
      <c r="H4" s="32" t="s">
        <v>423</v>
      </c>
    </row>
    <row r="5" customFormat="false" ht="15" hidden="false" customHeight="true" outlineLevel="0" collapsed="false">
      <c r="A5" s="31" t="n">
        <v>46204</v>
      </c>
      <c r="B5" s="32" t="s">
        <v>424</v>
      </c>
      <c r="C5" s="32" t="s">
        <v>425</v>
      </c>
      <c r="D5" s="32" t="s">
        <v>279</v>
      </c>
      <c r="E5" s="32" t="n">
        <v>10</v>
      </c>
      <c r="F5" s="32" t="s">
        <v>426</v>
      </c>
      <c r="G5" s="32" t="s">
        <v>422</v>
      </c>
      <c r="H5" s="32" t="s">
        <v>427</v>
      </c>
    </row>
    <row r="6" customFormat="false" ht="15" hidden="false" customHeight="true" outlineLevel="0" collapsed="false">
      <c r="A6" s="31" t="n">
        <v>46204</v>
      </c>
      <c r="B6" s="32" t="s">
        <v>340</v>
      </c>
      <c r="C6" s="32" t="s">
        <v>428</v>
      </c>
      <c r="D6" s="32" t="s">
        <v>279</v>
      </c>
      <c r="E6" s="32" t="n">
        <v>1</v>
      </c>
      <c r="F6" s="32" t="s">
        <v>429</v>
      </c>
      <c r="G6" s="32" t="s">
        <v>422</v>
      </c>
      <c r="H6" s="32" t="s">
        <v>427</v>
      </c>
    </row>
    <row r="7" customFormat="false" ht="15" hidden="false" customHeight="true" outlineLevel="0" collapsed="false">
      <c r="A7" s="31" t="n">
        <v>46204</v>
      </c>
      <c r="B7" s="32" t="s">
        <v>374</v>
      </c>
      <c r="C7" s="32" t="s">
        <v>430</v>
      </c>
      <c r="D7" s="32" t="s">
        <v>279</v>
      </c>
      <c r="E7" s="32" t="n">
        <v>1</v>
      </c>
      <c r="F7" s="32" t="s">
        <v>431</v>
      </c>
      <c r="G7" s="32" t="s">
        <v>422</v>
      </c>
      <c r="H7" s="32" t="s">
        <v>427</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2B21"/>
    <pageSetUpPr fitToPage="false"/>
  </sheetPr>
  <dimension ref="A1:H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22" width="13"/>
    <col collapsed="false" customWidth="true" hidden="false" outlineLevel="0" max="3" min="3" style="22" width="30"/>
    <col collapsed="false" customWidth="true" hidden="false" outlineLevel="0" max="4" min="4" style="22" width="14"/>
    <col collapsed="false" customWidth="true" hidden="false" outlineLevel="0" max="5" min="5" style="22" width="16"/>
    <col collapsed="false" customWidth="true" hidden="false" outlineLevel="0" max="7" min="6" style="22" width="12"/>
  </cols>
  <sheetData>
    <row r="1" customFormat="false" ht="15" hidden="false" customHeight="true" outlineLevel="0" collapsed="false">
      <c r="A1" s="42" t="s">
        <v>432</v>
      </c>
      <c r="B1" s="42"/>
      <c r="C1" s="42"/>
      <c r="D1" s="42"/>
      <c r="E1" s="42"/>
      <c r="F1" s="42"/>
      <c r="G1" s="42"/>
      <c r="H1" s="42"/>
    </row>
    <row r="2" customFormat="false" ht="15" hidden="false" customHeight="true" outlineLevel="0" collapsed="false">
      <c r="A2" s="36" t="s">
        <v>433</v>
      </c>
      <c r="B2" s="36"/>
      <c r="C2" s="36"/>
      <c r="D2" s="36"/>
      <c r="E2" s="36"/>
      <c r="F2" s="36"/>
      <c r="G2" s="36"/>
      <c r="H2" s="36"/>
    </row>
    <row r="4" customFormat="false" ht="15" hidden="false" customHeight="true" outlineLevel="0" collapsed="false">
      <c r="B4" s="53" t="s">
        <v>434</v>
      </c>
      <c r="C4" s="54" t="n">
        <f aca="false">DATE(2026,6,30)</f>
        <v>46203</v>
      </c>
    </row>
    <row r="6" customFormat="false" ht="15" hidden="false" customHeight="true" outlineLevel="0" collapsed="false">
      <c r="A6" s="55" t="s">
        <v>435</v>
      </c>
    </row>
    <row r="7" customFormat="false" ht="19.5" hidden="false" customHeight="true" outlineLevel="0" collapsed="false">
      <c r="A7" s="56" t="s">
        <v>231</v>
      </c>
      <c r="B7" s="56" t="s">
        <v>169</v>
      </c>
      <c r="C7" s="56" t="s">
        <v>373</v>
      </c>
      <c r="D7" s="56" t="s">
        <v>174</v>
      </c>
      <c r="E7" s="56" t="s">
        <v>114</v>
      </c>
      <c r="F7" s="56" t="s">
        <v>436</v>
      </c>
      <c r="G7" s="56" t="s">
        <v>437</v>
      </c>
    </row>
    <row r="8" customFormat="false" ht="15" hidden="false" customHeight="true" outlineLevel="0" collapsed="false">
      <c r="A8" s="57" t="str">
        <f aca="false">IF(Vendor_Invoices_Upload!$H$4&lt;&gt;"Paid",Vendor_Invoices_Upload!$B$4,"")</f>
        <v/>
      </c>
      <c r="B8" s="57" t="str">
        <f aca="false">IF(Vendor_Invoices_Upload!$H$4&lt;&gt;"Paid",Vendor_Invoices_Upload!$C$4,"")</f>
        <v/>
      </c>
      <c r="C8" s="58" t="str">
        <f aca="false">IF(Vendor_Invoices_Upload!$H$4&lt;&gt;"Paid",Vendor_Invoices_Upload!$E$4,"")</f>
        <v/>
      </c>
      <c r="D8" s="59" t="str">
        <f aca="false">IF(Vendor_Invoices_Upload!$H$4&lt;&gt;"Paid",Vendor_Invoices_Upload!$G$4,"")</f>
        <v/>
      </c>
      <c r="E8" s="58" t="str">
        <f aca="false">IF(Vendor_Invoices_Upload!$H$4&lt;&gt;"Paid",Vendor_Invoices_Upload!$H$4,"")</f>
        <v/>
      </c>
      <c r="F8" s="58" t="str">
        <f aca="false">IF(B8="","",MAX($C$4-B8,0))</f>
        <v/>
      </c>
      <c r="G8" s="34" t="str">
        <f aca="false">IF(F8="","",IF(F8&lt;=30,"0-30",IF(F8&lt;=60,"31-60",IF(F8&lt;=90,"61-90","90+"))))</f>
        <v/>
      </c>
    </row>
    <row r="9" customFormat="false" ht="15" hidden="false" customHeight="true" outlineLevel="0" collapsed="false">
      <c r="A9" s="57" t="str">
        <f aca="false">IF(Vendor_Invoices_Upload!$H$5&lt;&gt;"Paid",Vendor_Invoices_Upload!$B$5,"")</f>
        <v/>
      </c>
      <c r="B9" s="57" t="str">
        <f aca="false">IF(Vendor_Invoices_Upload!$H$5&lt;&gt;"Paid",Vendor_Invoices_Upload!$C$5,"")</f>
        <v/>
      </c>
      <c r="C9" s="58" t="str">
        <f aca="false">IF(Vendor_Invoices_Upload!$H$5&lt;&gt;"Paid",Vendor_Invoices_Upload!$E$5,"")</f>
        <v/>
      </c>
      <c r="D9" s="59" t="str">
        <f aca="false">IF(Vendor_Invoices_Upload!$H$5&lt;&gt;"Paid",Vendor_Invoices_Upload!$G$5,"")</f>
        <v/>
      </c>
      <c r="E9" s="58" t="str">
        <f aca="false">IF(Vendor_Invoices_Upload!$H$5&lt;&gt;"Paid",Vendor_Invoices_Upload!$H$5,"")</f>
        <v/>
      </c>
      <c r="F9" s="58" t="str">
        <f aca="false">IF(B9="","",MAX($C$4-B9,0))</f>
        <v/>
      </c>
      <c r="G9" s="34" t="str">
        <f aca="false">IF(F9="","",IF(F9&lt;=30,"0-30",IF(F9&lt;=60,"31-60",IF(F9&lt;=90,"61-90","90+"))))</f>
        <v/>
      </c>
    </row>
    <row r="10" customFormat="false" ht="15" hidden="false" customHeight="true" outlineLevel="0" collapsed="false">
      <c r="A10" s="57" t="str">
        <f aca="false">IF(Vendor_Invoices_Upload!$H$6&lt;&gt;"Paid",Vendor_Invoices_Upload!$B$6,"")</f>
        <v/>
      </c>
      <c r="B10" s="57" t="str">
        <f aca="false">IF(Vendor_Invoices_Upload!$H$6&lt;&gt;"Paid",Vendor_Invoices_Upload!$C$6,"")</f>
        <v/>
      </c>
      <c r="C10" s="58" t="str">
        <f aca="false">IF(Vendor_Invoices_Upload!$H$6&lt;&gt;"Paid",Vendor_Invoices_Upload!$E$6,"")</f>
        <v/>
      </c>
      <c r="D10" s="59" t="str">
        <f aca="false">IF(Vendor_Invoices_Upload!$H$6&lt;&gt;"Paid",Vendor_Invoices_Upload!$G$6,"")</f>
        <v/>
      </c>
      <c r="E10" s="58" t="str">
        <f aca="false">IF(Vendor_Invoices_Upload!$H$6&lt;&gt;"Paid",Vendor_Invoices_Upload!$H$6,"")</f>
        <v/>
      </c>
      <c r="F10" s="58" t="str">
        <f aca="false">IF(B10="","",MAX($C$4-B10,0))</f>
        <v/>
      </c>
      <c r="G10" s="34" t="str">
        <f aca="false">IF(F10="","",IF(F10&lt;=30,"0-30",IF(F10&lt;=60,"31-60",IF(F10&lt;=90,"61-90","90+"))))</f>
        <v/>
      </c>
    </row>
    <row r="11" customFormat="false" ht="15" hidden="false" customHeight="true" outlineLevel="0" collapsed="false">
      <c r="A11" s="57" t="str">
        <f aca="false">IF(Vendor_Invoices_Upload!$H$7&lt;&gt;"Paid",Vendor_Invoices_Upload!$B$7,"")</f>
        <v/>
      </c>
      <c r="B11" s="57" t="str">
        <f aca="false">IF(Vendor_Invoices_Upload!$H$7&lt;&gt;"Paid",Vendor_Invoices_Upload!$C$7,"")</f>
        <v/>
      </c>
      <c r="C11" s="58" t="str">
        <f aca="false">IF(Vendor_Invoices_Upload!$H$7&lt;&gt;"Paid",Vendor_Invoices_Upload!$E$7,"")</f>
        <v/>
      </c>
      <c r="D11" s="59" t="str">
        <f aca="false">IF(Vendor_Invoices_Upload!$H$7&lt;&gt;"Paid",Vendor_Invoices_Upload!$G$7,"")</f>
        <v/>
      </c>
      <c r="E11" s="58" t="str">
        <f aca="false">IF(Vendor_Invoices_Upload!$H$7&lt;&gt;"Paid",Vendor_Invoices_Upload!$H$7,"")</f>
        <v/>
      </c>
      <c r="F11" s="58" t="str">
        <f aca="false">IF(B11="","",MAX($C$4-B11,0))</f>
        <v/>
      </c>
      <c r="G11" s="34" t="str">
        <f aca="false">IF(F11="","",IF(F11&lt;=30,"0-30",IF(F11&lt;=60,"31-60",IF(F11&lt;=90,"61-90","90+"))))</f>
        <v/>
      </c>
    </row>
    <row r="12" customFormat="false" ht="15" hidden="false" customHeight="true" outlineLevel="0" collapsed="false">
      <c r="A12" s="57" t="n">
        <f aca="false">IF(Vendor_Invoices_Upload!$H$8&lt;&gt;"Paid",Vendor_Invoices_Upload!$B$8,"")</f>
        <v>46148</v>
      </c>
      <c r="B12" s="57" t="n">
        <f aca="false">IF(Vendor_Invoices_Upload!$H$8&lt;&gt;"Paid",Vendor_Invoices_Upload!$C$8,"")</f>
        <v>46163</v>
      </c>
      <c r="C12" s="58" t="str">
        <f aca="false">IF(Vendor_Invoices_Upload!$H$8&lt;&gt;"Paid",Vendor_Invoices_Upload!$E$8,"")</f>
        <v>Freelance Dev Studio FZE</v>
      </c>
      <c r="D12" s="59" t="n">
        <f aca="false">IF(Vendor_Invoices_Upload!$H$8&lt;&gt;"Paid",Vendor_Invoices_Upload!$G$8,"")</f>
        <v>4441.12</v>
      </c>
      <c r="E12" s="58" t="str">
        <f aca="false">IF(Vendor_Invoices_Upload!$H$8&lt;&gt;"Paid",Vendor_Invoices_Upload!$H$8,"")</f>
        <v>Awaiting Payment</v>
      </c>
      <c r="F12" s="58" t="n">
        <f aca="false">IF(B12="","",MAX($C$4-B12,0))</f>
        <v>40</v>
      </c>
      <c r="G12" s="34" t="str">
        <f aca="false">IF(F12="","",IF(F12&lt;=30,"0-30",IF(F12&lt;=60,"31-60",IF(F12&lt;=90,"61-90","90+"))))</f>
        <v>31-60</v>
      </c>
    </row>
    <row r="13" customFormat="false" ht="15" hidden="false" customHeight="true" outlineLevel="0" collapsed="false">
      <c r="A13" s="57" t="str">
        <f aca="false">IF(Vendor_Invoices_Upload!$H$9&lt;&gt;"Paid",Vendor_Invoices_Upload!$B$9,"")</f>
        <v/>
      </c>
      <c r="B13" s="57" t="str">
        <f aca="false">IF(Vendor_Invoices_Upload!$H$9&lt;&gt;"Paid",Vendor_Invoices_Upload!$C$9,"")</f>
        <v/>
      </c>
      <c r="C13" s="58" t="str">
        <f aca="false">IF(Vendor_Invoices_Upload!$H$9&lt;&gt;"Paid",Vendor_Invoices_Upload!$E$9,"")</f>
        <v/>
      </c>
      <c r="D13" s="59" t="str">
        <f aca="false">IF(Vendor_Invoices_Upload!$H$9&lt;&gt;"Paid",Vendor_Invoices_Upload!$G$9,"")</f>
        <v/>
      </c>
      <c r="E13" s="58" t="str">
        <f aca="false">IF(Vendor_Invoices_Upload!$H$9&lt;&gt;"Paid",Vendor_Invoices_Upload!$H$9,"")</f>
        <v/>
      </c>
      <c r="F13" s="58" t="str">
        <f aca="false">IF(B13="","",MAX($C$4-B13,0))</f>
        <v/>
      </c>
      <c r="G13" s="34" t="str">
        <f aca="false">IF(F13="","",IF(F13&lt;=30,"0-30",IF(F13&lt;=60,"31-60",IF(F13&lt;=90,"61-90","90+"))))</f>
        <v/>
      </c>
    </row>
    <row r="14" customFormat="false" ht="15" hidden="false" customHeight="true" outlineLevel="0" collapsed="false">
      <c r="A14" s="57" t="n">
        <f aca="false">IF(Vendor_Invoices_Upload!$H$10&lt;&gt;"Paid",Vendor_Invoices_Upload!$B$10,"")</f>
        <v>46161</v>
      </c>
      <c r="B14" s="57" t="n">
        <f aca="false">IF(Vendor_Invoices_Upload!$H$10&lt;&gt;"Paid",Vendor_Invoices_Upload!$C$10,"")</f>
        <v>46176</v>
      </c>
      <c r="C14" s="58" t="str">
        <f aca="false">IF(Vendor_Invoices_Upload!$H$10&lt;&gt;"Paid",Vendor_Invoices_Upload!$E$10,"")</f>
        <v>WPP Cloud Hosting LLC</v>
      </c>
      <c r="D14" s="59" t="n">
        <f aca="false">IF(Vendor_Invoices_Upload!$H$10&lt;&gt;"Paid",Vendor_Invoices_Upload!$G$10,"")</f>
        <v>4149.25</v>
      </c>
      <c r="E14" s="58" t="str">
        <f aca="false">IF(Vendor_Invoices_Upload!$H$10&lt;&gt;"Paid",Vendor_Invoices_Upload!$H$10,"")</f>
        <v>Awaiting Payment</v>
      </c>
      <c r="F14" s="58" t="n">
        <f aca="false">IF(B14="","",MAX($C$4-B14,0))</f>
        <v>27</v>
      </c>
      <c r="G14" s="34" t="str">
        <f aca="false">IF(F14="","",IF(F14&lt;=30,"0-30",IF(F14&lt;=60,"31-60",IF(F14&lt;=90,"61-90","90+"))))</f>
        <v>0-30</v>
      </c>
    </row>
    <row r="15" customFormat="false" ht="15" hidden="false" customHeight="true" outlineLevel="0" collapsed="false">
      <c r="A15" s="57" t="str">
        <f aca="false">IF(Vendor_Invoices_Upload!$H$11&lt;&gt;"Paid",Vendor_Invoices_Upload!$B$11,"")</f>
        <v/>
      </c>
      <c r="B15" s="57" t="str">
        <f aca="false">IF(Vendor_Invoices_Upload!$H$11&lt;&gt;"Paid",Vendor_Invoices_Upload!$C$11,"")</f>
        <v/>
      </c>
      <c r="C15" s="58" t="str">
        <f aca="false">IF(Vendor_Invoices_Upload!$H$11&lt;&gt;"Paid",Vendor_Invoices_Upload!$E$11,"")</f>
        <v/>
      </c>
      <c r="D15" s="59" t="str">
        <f aca="false">IF(Vendor_Invoices_Upload!$H$11&lt;&gt;"Paid",Vendor_Invoices_Upload!$G$11,"")</f>
        <v/>
      </c>
      <c r="E15" s="58" t="str">
        <f aca="false">IF(Vendor_Invoices_Upload!$H$11&lt;&gt;"Paid",Vendor_Invoices_Upload!$H$11,"")</f>
        <v/>
      </c>
      <c r="F15" s="58" t="str">
        <f aca="false">IF(B15="","",MAX($C$4-B15,0))</f>
        <v/>
      </c>
      <c r="G15" s="34" t="str">
        <f aca="false">IF(F15="","",IF(F15&lt;=30,"0-30",IF(F15&lt;=60,"31-60",IF(F15&lt;=90,"61-90","90+"))))</f>
        <v/>
      </c>
    </row>
    <row r="16" customFormat="false" ht="15" hidden="false" customHeight="true" outlineLevel="0" collapsed="false">
      <c r="A16" s="57" t="str">
        <f aca="false">IF(Vendor_Invoices_Upload!$H$12&lt;&gt;"Paid",Vendor_Invoices_Upload!$B$12,"")</f>
        <v/>
      </c>
      <c r="B16" s="57" t="str">
        <f aca="false">IF(Vendor_Invoices_Upload!$H$12&lt;&gt;"Paid",Vendor_Invoices_Upload!$C$12,"")</f>
        <v/>
      </c>
      <c r="C16" s="58" t="str">
        <f aca="false">IF(Vendor_Invoices_Upload!$H$12&lt;&gt;"Paid",Vendor_Invoices_Upload!$E$12,"")</f>
        <v/>
      </c>
      <c r="D16" s="59" t="str">
        <f aca="false">IF(Vendor_Invoices_Upload!$H$12&lt;&gt;"Paid",Vendor_Invoices_Upload!$G$12,"")</f>
        <v/>
      </c>
      <c r="E16" s="58" t="str">
        <f aca="false">IF(Vendor_Invoices_Upload!$H$12&lt;&gt;"Paid",Vendor_Invoices_Upload!$H$12,"")</f>
        <v/>
      </c>
      <c r="F16" s="58" t="str">
        <f aca="false">IF(B16="","",MAX($C$4-B16,0))</f>
        <v/>
      </c>
      <c r="G16" s="34" t="str">
        <f aca="false">IF(F16="","",IF(F16&lt;=30,"0-30",IF(F16&lt;=60,"31-60",IF(F16&lt;=90,"61-90","90+"))))</f>
        <v/>
      </c>
    </row>
    <row r="17" customFormat="false" ht="15" hidden="false" customHeight="true" outlineLevel="0" collapsed="false">
      <c r="A17" s="57" t="str">
        <f aca="false">IF(Vendor_Invoices_Upload!$H$13&lt;&gt;"Paid",Vendor_Invoices_Upload!$B$13,"")</f>
        <v/>
      </c>
      <c r="B17" s="57" t="str">
        <f aca="false">IF(Vendor_Invoices_Upload!$H$13&lt;&gt;"Paid",Vendor_Invoices_Upload!$C$13,"")</f>
        <v/>
      </c>
      <c r="C17" s="58" t="str">
        <f aca="false">IF(Vendor_Invoices_Upload!$H$13&lt;&gt;"Paid",Vendor_Invoices_Upload!$E$13,"")</f>
        <v/>
      </c>
      <c r="D17" s="59" t="str">
        <f aca="false">IF(Vendor_Invoices_Upload!$H$13&lt;&gt;"Paid",Vendor_Invoices_Upload!$G$13,"")</f>
        <v/>
      </c>
      <c r="E17" s="58" t="str">
        <f aca="false">IF(Vendor_Invoices_Upload!$H$13&lt;&gt;"Paid",Vendor_Invoices_Upload!$H$13,"")</f>
        <v/>
      </c>
      <c r="F17" s="58" t="str">
        <f aca="false">IF(B17="","",MAX($C$4-B17,0))</f>
        <v/>
      </c>
      <c r="G17" s="34" t="str">
        <f aca="false">IF(F17="","",IF(F17&lt;=30,"0-30",IF(F17&lt;=60,"31-60",IF(F17&lt;=90,"61-90","90+"))))</f>
        <v/>
      </c>
    </row>
    <row r="18" customFormat="false" ht="15" hidden="false" customHeight="true" outlineLevel="0" collapsed="false">
      <c r="A18" s="57" t="str">
        <f aca="false">IF(Vendor_Invoices_Upload!$H$14&lt;&gt;"Paid",Vendor_Invoices_Upload!$B$14,"")</f>
        <v/>
      </c>
      <c r="B18" s="57" t="str">
        <f aca="false">IF(Vendor_Invoices_Upload!$H$14&lt;&gt;"Paid",Vendor_Invoices_Upload!$C$14,"")</f>
        <v/>
      </c>
      <c r="C18" s="58" t="str">
        <f aca="false">IF(Vendor_Invoices_Upload!$H$14&lt;&gt;"Paid",Vendor_Invoices_Upload!$E$14,"")</f>
        <v/>
      </c>
      <c r="D18" s="59" t="str">
        <f aca="false">IF(Vendor_Invoices_Upload!$H$14&lt;&gt;"Paid",Vendor_Invoices_Upload!$G$14,"")</f>
        <v/>
      </c>
      <c r="E18" s="58" t="str">
        <f aca="false">IF(Vendor_Invoices_Upload!$H$14&lt;&gt;"Paid",Vendor_Invoices_Upload!$H$14,"")</f>
        <v/>
      </c>
      <c r="F18" s="58" t="str">
        <f aca="false">IF(B18="","",MAX($C$4-B18,0))</f>
        <v/>
      </c>
      <c r="G18" s="34" t="str">
        <f aca="false">IF(F18="","",IF(F18&lt;=30,"0-30",IF(F18&lt;=60,"31-60",IF(F18&lt;=90,"61-90","90+"))))</f>
        <v/>
      </c>
    </row>
    <row r="19" customFormat="false" ht="15" hidden="false" customHeight="true" outlineLevel="0" collapsed="false">
      <c r="A19" s="57" t="n">
        <f aca="false">IF(Vendor_Invoices_Upload!$H$15&lt;&gt;"Paid",Vendor_Invoices_Upload!$B$15,"")</f>
        <v>46181</v>
      </c>
      <c r="B19" s="57" t="n">
        <f aca="false">IF(Vendor_Invoices_Upload!$H$15&lt;&gt;"Paid",Vendor_Invoices_Upload!$C$15,"")</f>
        <v>46196</v>
      </c>
      <c r="C19" s="58" t="str">
        <f aca="false">IF(Vendor_Invoices_Upload!$H$15&lt;&gt;"Paid",Vendor_Invoices_Upload!$E$15,"")</f>
        <v>Emirates Trade License Authority</v>
      </c>
      <c r="D19" s="59" t="n">
        <f aca="false">IF(Vendor_Invoices_Upload!$H$15&lt;&gt;"Paid",Vendor_Invoices_Upload!$G$15,"")</f>
        <v>3442.89</v>
      </c>
      <c r="E19" s="58" t="str">
        <f aca="false">IF(Vendor_Invoices_Upload!$H$15&lt;&gt;"Paid",Vendor_Invoices_Upload!$H$15,"")</f>
        <v>Awaiting Payment</v>
      </c>
      <c r="F19" s="58" t="n">
        <f aca="false">IF(B19="","",MAX($C$4-B19,0))</f>
        <v>7</v>
      </c>
      <c r="G19" s="34" t="str">
        <f aca="false">IF(F19="","",IF(F19&lt;=30,"0-30",IF(F19&lt;=60,"31-60",IF(F19&lt;=90,"61-90","90+"))))</f>
        <v>0-30</v>
      </c>
    </row>
    <row r="21" customFormat="false" ht="15" hidden="false" customHeight="true" outlineLevel="0" collapsed="false">
      <c r="A21" s="55" t="s">
        <v>438</v>
      </c>
    </row>
    <row r="22" customFormat="false" ht="19.5" hidden="false" customHeight="true" outlineLevel="0" collapsed="false">
      <c r="A22" s="56" t="s">
        <v>231</v>
      </c>
      <c r="B22" s="56" t="s">
        <v>169</v>
      </c>
      <c r="C22" s="56" t="s">
        <v>373</v>
      </c>
      <c r="D22" s="56" t="s">
        <v>174</v>
      </c>
      <c r="E22" s="56" t="s">
        <v>114</v>
      </c>
      <c r="F22" s="56" t="s">
        <v>436</v>
      </c>
      <c r="G22" s="56" t="s">
        <v>437</v>
      </c>
    </row>
    <row r="23" customFormat="false" ht="15" hidden="false" customHeight="true" outlineLevel="0" collapsed="false">
      <c r="A23" s="57" t="str">
        <f aca="false">IF(AND(Xero_Raw!$C$4="Bill",Xero_Raw!$I$4&lt;&gt;"Paid"),Xero_Raw!$A$4,"")</f>
        <v/>
      </c>
      <c r="B23" s="57" t="str">
        <f aca="false">IF(AND(Xero_Raw!$C$4="Bill",Xero_Raw!$I$4&lt;&gt;"Paid"),Xero_Raw!$A$4+15,"")</f>
        <v/>
      </c>
      <c r="C23" s="58" t="str">
        <f aca="false">IF(AND(Xero_Raw!$C$4="Bill",Xero_Raw!$I$4&lt;&gt;"Paid"),Xero_Raw!$D$4,"")</f>
        <v/>
      </c>
      <c r="D23" s="59" t="str">
        <f aca="false">IF(AND(Xero_Raw!$C$4="Bill",Xero_Raw!$I$4&lt;&gt;"Paid"),Xero_Raw!$H$4,"")</f>
        <v/>
      </c>
      <c r="E23" s="58" t="str">
        <f aca="false">IF(AND(Xero_Raw!$C$4="Bill",Xero_Raw!$I$4&lt;&gt;"Paid"),Xero_Raw!$I$4,"")</f>
        <v/>
      </c>
      <c r="F23" s="58" t="str">
        <f aca="false">IF(B23="","",MAX($C$4-B23,0))</f>
        <v/>
      </c>
      <c r="G23" s="34" t="str">
        <f aca="false">IF(F23="","",IF(F23&lt;=30,"0-30",IF(F23&lt;=60,"31-60",IF(F23&lt;=90,"61-90","90+"))))</f>
        <v/>
      </c>
    </row>
    <row r="24" customFormat="false" ht="15" hidden="false" customHeight="true" outlineLevel="0" collapsed="false">
      <c r="A24" s="57" t="str">
        <f aca="false">IF(AND(Xero_Raw!$C$5="Bill",Xero_Raw!$I$5&lt;&gt;"Paid"),Xero_Raw!$A$5,"")</f>
        <v/>
      </c>
      <c r="B24" s="57" t="str">
        <f aca="false">IF(AND(Xero_Raw!$C$5="Bill",Xero_Raw!$I$5&lt;&gt;"Paid"),Xero_Raw!$A$5+15,"")</f>
        <v/>
      </c>
      <c r="C24" s="58" t="str">
        <f aca="false">IF(AND(Xero_Raw!$C$5="Bill",Xero_Raw!$I$5&lt;&gt;"Paid"),Xero_Raw!$D$5,"")</f>
        <v/>
      </c>
      <c r="D24" s="59" t="str">
        <f aca="false">IF(AND(Xero_Raw!$C$5="Bill",Xero_Raw!$I$5&lt;&gt;"Paid"),Xero_Raw!$H$5,"")</f>
        <v/>
      </c>
      <c r="E24" s="58" t="str">
        <f aca="false">IF(AND(Xero_Raw!$C$5="Bill",Xero_Raw!$I$5&lt;&gt;"Paid"),Xero_Raw!$I$5,"")</f>
        <v/>
      </c>
      <c r="F24" s="58" t="str">
        <f aca="false">IF(B24="","",MAX($C$4-B24,0))</f>
        <v/>
      </c>
      <c r="G24" s="34" t="str">
        <f aca="false">IF(F24="","",IF(F24&lt;=30,"0-30",IF(F24&lt;=60,"31-60",IF(F24&lt;=90,"61-90","90+"))))</f>
        <v/>
      </c>
    </row>
    <row r="25" customFormat="false" ht="15" hidden="false" customHeight="true" outlineLevel="0" collapsed="false">
      <c r="A25" s="57" t="str">
        <f aca="false">IF(AND(Xero_Raw!$C$6="Bill",Xero_Raw!$I$6&lt;&gt;"Paid"),Xero_Raw!$A$6,"")</f>
        <v/>
      </c>
      <c r="B25" s="57" t="str">
        <f aca="false">IF(AND(Xero_Raw!$C$6="Bill",Xero_Raw!$I$6&lt;&gt;"Paid"),Xero_Raw!$A$6+15,"")</f>
        <v/>
      </c>
      <c r="C25" s="58" t="str">
        <f aca="false">IF(AND(Xero_Raw!$C$6="Bill",Xero_Raw!$I$6&lt;&gt;"Paid"),Xero_Raw!$D$6,"")</f>
        <v/>
      </c>
      <c r="D25" s="59" t="str">
        <f aca="false">IF(AND(Xero_Raw!$C$6="Bill",Xero_Raw!$I$6&lt;&gt;"Paid"),Xero_Raw!$H$6,"")</f>
        <v/>
      </c>
      <c r="E25" s="58" t="str">
        <f aca="false">IF(AND(Xero_Raw!$C$6="Bill",Xero_Raw!$I$6&lt;&gt;"Paid"),Xero_Raw!$I$6,"")</f>
        <v/>
      </c>
      <c r="F25" s="58" t="str">
        <f aca="false">IF(B25="","",MAX($C$4-B25,0))</f>
        <v/>
      </c>
      <c r="G25" s="34" t="str">
        <f aca="false">IF(F25="","",IF(F25&lt;=30,"0-30",IF(F25&lt;=60,"31-60",IF(F25&lt;=90,"61-90","90+"))))</f>
        <v/>
      </c>
    </row>
    <row r="26" customFormat="false" ht="15" hidden="false" customHeight="true" outlineLevel="0" collapsed="false">
      <c r="A26" s="57" t="str">
        <f aca="false">IF(AND(Xero_Raw!$C$7="Bill",Xero_Raw!$I$7&lt;&gt;"Paid"),Xero_Raw!$A$7,"")</f>
        <v/>
      </c>
      <c r="B26" s="57" t="str">
        <f aca="false">IF(AND(Xero_Raw!$C$7="Bill",Xero_Raw!$I$7&lt;&gt;"Paid"),Xero_Raw!$A$7+15,"")</f>
        <v/>
      </c>
      <c r="C26" s="58" t="str">
        <f aca="false">IF(AND(Xero_Raw!$C$7="Bill",Xero_Raw!$I$7&lt;&gt;"Paid"),Xero_Raw!$D$7,"")</f>
        <v/>
      </c>
      <c r="D26" s="59" t="str">
        <f aca="false">IF(AND(Xero_Raw!$C$7="Bill",Xero_Raw!$I$7&lt;&gt;"Paid"),Xero_Raw!$H$7,"")</f>
        <v/>
      </c>
      <c r="E26" s="58" t="str">
        <f aca="false">IF(AND(Xero_Raw!$C$7="Bill",Xero_Raw!$I$7&lt;&gt;"Paid"),Xero_Raw!$I$7,"")</f>
        <v/>
      </c>
      <c r="F26" s="58" t="str">
        <f aca="false">IF(B26="","",MAX($C$4-B26,0))</f>
        <v/>
      </c>
      <c r="G26" s="34" t="str">
        <f aca="false">IF(F26="","",IF(F26&lt;=30,"0-30",IF(F26&lt;=60,"31-60",IF(F26&lt;=90,"61-90","90+"))))</f>
        <v/>
      </c>
    </row>
    <row r="27" customFormat="false" ht="15" hidden="false" customHeight="true" outlineLevel="0" collapsed="false">
      <c r="A27" s="57" t="str">
        <f aca="false">IF(AND(Xero_Raw!$C$8="Bill",Xero_Raw!$I$8&lt;&gt;"Paid"),Xero_Raw!$A$8,"")</f>
        <v/>
      </c>
      <c r="B27" s="57" t="str">
        <f aca="false">IF(AND(Xero_Raw!$C$8="Bill",Xero_Raw!$I$8&lt;&gt;"Paid"),Xero_Raw!$A$8+15,"")</f>
        <v/>
      </c>
      <c r="C27" s="58" t="str">
        <f aca="false">IF(AND(Xero_Raw!$C$8="Bill",Xero_Raw!$I$8&lt;&gt;"Paid"),Xero_Raw!$D$8,"")</f>
        <v/>
      </c>
      <c r="D27" s="59" t="str">
        <f aca="false">IF(AND(Xero_Raw!$C$8="Bill",Xero_Raw!$I$8&lt;&gt;"Paid"),Xero_Raw!$H$8,"")</f>
        <v/>
      </c>
      <c r="E27" s="58" t="str">
        <f aca="false">IF(AND(Xero_Raw!$C$8="Bill",Xero_Raw!$I$8&lt;&gt;"Paid"),Xero_Raw!$I$8,"")</f>
        <v/>
      </c>
      <c r="F27" s="58" t="str">
        <f aca="false">IF(B27="","",MAX($C$4-B27,0))</f>
        <v/>
      </c>
      <c r="G27" s="34" t="str">
        <f aca="false">IF(F27="","",IF(F27&lt;=30,"0-30",IF(F27&lt;=60,"31-60",IF(F27&lt;=90,"61-90","90+"))))</f>
        <v/>
      </c>
    </row>
    <row r="28" customFormat="false" ht="15" hidden="false" customHeight="true" outlineLevel="0" collapsed="false">
      <c r="A28" s="57" t="str">
        <f aca="false">IF(AND(Xero_Raw!$C$9="Bill",Xero_Raw!$I$9&lt;&gt;"Paid"),Xero_Raw!$A$9,"")</f>
        <v/>
      </c>
      <c r="B28" s="57" t="str">
        <f aca="false">IF(AND(Xero_Raw!$C$9="Bill",Xero_Raw!$I$9&lt;&gt;"Paid"),Xero_Raw!$A$9+15,"")</f>
        <v/>
      </c>
      <c r="C28" s="58" t="str">
        <f aca="false">IF(AND(Xero_Raw!$C$9="Bill",Xero_Raw!$I$9&lt;&gt;"Paid"),Xero_Raw!$D$9,"")</f>
        <v/>
      </c>
      <c r="D28" s="59" t="str">
        <f aca="false">IF(AND(Xero_Raw!$C$9="Bill",Xero_Raw!$I$9&lt;&gt;"Paid"),Xero_Raw!$H$9,"")</f>
        <v/>
      </c>
      <c r="E28" s="58" t="str">
        <f aca="false">IF(AND(Xero_Raw!$C$9="Bill",Xero_Raw!$I$9&lt;&gt;"Paid"),Xero_Raw!$I$9,"")</f>
        <v/>
      </c>
      <c r="F28" s="58" t="str">
        <f aca="false">IF(B28="","",MAX($C$4-B28,0))</f>
        <v/>
      </c>
      <c r="G28" s="34" t="str">
        <f aca="false">IF(F28="","",IF(F28&lt;=30,"0-30",IF(F28&lt;=60,"31-60",IF(F28&lt;=90,"61-90","90+"))))</f>
        <v/>
      </c>
    </row>
    <row r="29" customFormat="false" ht="15" hidden="false" customHeight="true" outlineLevel="0" collapsed="false">
      <c r="A29" s="57" t="str">
        <f aca="false">IF(AND(Xero_Raw!$C$10="Bill",Xero_Raw!$I$10&lt;&gt;"Paid"),Xero_Raw!$A$10,"")</f>
        <v/>
      </c>
      <c r="B29" s="57" t="str">
        <f aca="false">IF(AND(Xero_Raw!$C$10="Bill",Xero_Raw!$I$10&lt;&gt;"Paid"),Xero_Raw!$A$10+15,"")</f>
        <v/>
      </c>
      <c r="C29" s="58" t="str">
        <f aca="false">IF(AND(Xero_Raw!$C$10="Bill",Xero_Raw!$I$10&lt;&gt;"Paid"),Xero_Raw!$D$10,"")</f>
        <v/>
      </c>
      <c r="D29" s="59" t="str">
        <f aca="false">IF(AND(Xero_Raw!$C$10="Bill",Xero_Raw!$I$10&lt;&gt;"Paid"),Xero_Raw!$H$10,"")</f>
        <v/>
      </c>
      <c r="E29" s="58" t="str">
        <f aca="false">IF(AND(Xero_Raw!$C$10="Bill",Xero_Raw!$I$10&lt;&gt;"Paid"),Xero_Raw!$I$10,"")</f>
        <v/>
      </c>
      <c r="F29" s="58" t="str">
        <f aca="false">IF(B29="","",MAX($C$4-B29,0))</f>
        <v/>
      </c>
      <c r="G29" s="34" t="str">
        <f aca="false">IF(F29="","",IF(F29&lt;=30,"0-30",IF(F29&lt;=60,"31-60",IF(F29&lt;=90,"61-90","90+"))))</f>
        <v/>
      </c>
    </row>
    <row r="30" customFormat="false" ht="15" hidden="false" customHeight="true" outlineLevel="0" collapsed="false">
      <c r="A30" s="57" t="str">
        <f aca="false">IF(AND(Xero_Raw!$C$11="Bill",Xero_Raw!$I$11&lt;&gt;"Paid"),Xero_Raw!$A$11,"")</f>
        <v/>
      </c>
      <c r="B30" s="57" t="str">
        <f aca="false">IF(AND(Xero_Raw!$C$11="Bill",Xero_Raw!$I$11&lt;&gt;"Paid"),Xero_Raw!$A$11+15,"")</f>
        <v/>
      </c>
      <c r="C30" s="58" t="str">
        <f aca="false">IF(AND(Xero_Raw!$C$11="Bill",Xero_Raw!$I$11&lt;&gt;"Paid"),Xero_Raw!$D$11,"")</f>
        <v/>
      </c>
      <c r="D30" s="59" t="str">
        <f aca="false">IF(AND(Xero_Raw!$C$11="Bill",Xero_Raw!$I$11&lt;&gt;"Paid"),Xero_Raw!$H$11,"")</f>
        <v/>
      </c>
      <c r="E30" s="58" t="str">
        <f aca="false">IF(AND(Xero_Raw!$C$11="Bill",Xero_Raw!$I$11&lt;&gt;"Paid"),Xero_Raw!$I$11,"")</f>
        <v/>
      </c>
      <c r="F30" s="58" t="str">
        <f aca="false">IF(B30="","",MAX($C$4-B30,0))</f>
        <v/>
      </c>
      <c r="G30" s="34" t="str">
        <f aca="false">IF(F30="","",IF(F30&lt;=30,"0-30",IF(F30&lt;=60,"31-60",IF(F30&lt;=90,"61-90","90+"))))</f>
        <v/>
      </c>
    </row>
    <row r="31" customFormat="false" ht="15" hidden="false" customHeight="true" outlineLevel="0" collapsed="false">
      <c r="A31" s="57" t="str">
        <f aca="false">IF(AND(Xero_Raw!$C$12="Bill",Xero_Raw!$I$12&lt;&gt;"Paid"),Xero_Raw!$A$12,"")</f>
        <v/>
      </c>
      <c r="B31" s="57" t="str">
        <f aca="false">IF(AND(Xero_Raw!$C$12="Bill",Xero_Raw!$I$12&lt;&gt;"Paid"),Xero_Raw!$A$12+15,"")</f>
        <v/>
      </c>
      <c r="C31" s="58" t="str">
        <f aca="false">IF(AND(Xero_Raw!$C$12="Bill",Xero_Raw!$I$12&lt;&gt;"Paid"),Xero_Raw!$D$12,"")</f>
        <v/>
      </c>
      <c r="D31" s="59" t="str">
        <f aca="false">IF(AND(Xero_Raw!$C$12="Bill",Xero_Raw!$I$12&lt;&gt;"Paid"),Xero_Raw!$H$12,"")</f>
        <v/>
      </c>
      <c r="E31" s="58" t="str">
        <f aca="false">IF(AND(Xero_Raw!$C$12="Bill",Xero_Raw!$I$12&lt;&gt;"Paid"),Xero_Raw!$I$12,"")</f>
        <v/>
      </c>
      <c r="F31" s="58" t="str">
        <f aca="false">IF(B31="","",MAX($C$4-B31,0))</f>
        <v/>
      </c>
      <c r="G31" s="34" t="str">
        <f aca="false">IF(F31="","",IF(F31&lt;=30,"0-30",IF(F31&lt;=60,"31-60",IF(F31&lt;=90,"61-90","90+"))))</f>
        <v/>
      </c>
    </row>
    <row r="32" customFormat="false" ht="15" hidden="false" customHeight="true" outlineLevel="0" collapsed="false">
      <c r="A32" s="57" t="str">
        <f aca="false">IF(AND(Xero_Raw!$C$13="Bill",Xero_Raw!$I$13&lt;&gt;"Paid"),Xero_Raw!$A$13,"")</f>
        <v/>
      </c>
      <c r="B32" s="57" t="str">
        <f aca="false">IF(AND(Xero_Raw!$C$13="Bill",Xero_Raw!$I$13&lt;&gt;"Paid"),Xero_Raw!$A$13+15,"")</f>
        <v/>
      </c>
      <c r="C32" s="58" t="str">
        <f aca="false">IF(AND(Xero_Raw!$C$13="Bill",Xero_Raw!$I$13&lt;&gt;"Paid"),Xero_Raw!$D$13,"")</f>
        <v/>
      </c>
      <c r="D32" s="59" t="str">
        <f aca="false">IF(AND(Xero_Raw!$C$13="Bill",Xero_Raw!$I$13&lt;&gt;"Paid"),Xero_Raw!$H$13,"")</f>
        <v/>
      </c>
      <c r="E32" s="58" t="str">
        <f aca="false">IF(AND(Xero_Raw!$C$13="Bill",Xero_Raw!$I$13&lt;&gt;"Paid"),Xero_Raw!$I$13,"")</f>
        <v/>
      </c>
      <c r="F32" s="58" t="str">
        <f aca="false">IF(B32="","",MAX($C$4-B32,0))</f>
        <v/>
      </c>
      <c r="G32" s="34" t="str">
        <f aca="false">IF(F32="","",IF(F32&lt;=30,"0-30",IF(F32&lt;=60,"31-60",IF(F32&lt;=90,"61-90","90+"))))</f>
        <v/>
      </c>
    </row>
    <row r="33" customFormat="false" ht="15" hidden="false" customHeight="true" outlineLevel="0" collapsed="false">
      <c r="A33" s="57" t="str">
        <f aca="false">IF(AND(Xero_Raw!$C$14="Bill",Xero_Raw!$I$14&lt;&gt;"Paid"),Xero_Raw!$A$14,"")</f>
        <v/>
      </c>
      <c r="B33" s="57" t="str">
        <f aca="false">IF(AND(Xero_Raw!$C$14="Bill",Xero_Raw!$I$14&lt;&gt;"Paid"),Xero_Raw!$A$14+15,"")</f>
        <v/>
      </c>
      <c r="C33" s="58" t="str">
        <f aca="false">IF(AND(Xero_Raw!$C$14="Bill",Xero_Raw!$I$14&lt;&gt;"Paid"),Xero_Raw!$D$14,"")</f>
        <v/>
      </c>
      <c r="D33" s="59" t="str">
        <f aca="false">IF(AND(Xero_Raw!$C$14="Bill",Xero_Raw!$I$14&lt;&gt;"Paid"),Xero_Raw!$H$14,"")</f>
        <v/>
      </c>
      <c r="E33" s="58" t="str">
        <f aca="false">IF(AND(Xero_Raw!$C$14="Bill",Xero_Raw!$I$14&lt;&gt;"Paid"),Xero_Raw!$I$14,"")</f>
        <v/>
      </c>
      <c r="F33" s="58" t="str">
        <f aca="false">IF(B33="","",MAX($C$4-B33,0))</f>
        <v/>
      </c>
      <c r="G33" s="34" t="str">
        <f aca="false">IF(F33="","",IF(F33&lt;=30,"0-30",IF(F33&lt;=60,"31-60",IF(F33&lt;=90,"61-90","90+"))))</f>
        <v/>
      </c>
    </row>
    <row r="34" customFormat="false" ht="15" hidden="false" customHeight="true" outlineLevel="0" collapsed="false">
      <c r="A34" s="57" t="str">
        <f aca="false">IF(AND(Xero_Raw!$C$15="Bill",Xero_Raw!$I$15&lt;&gt;"Paid"),Xero_Raw!$A$15,"")</f>
        <v/>
      </c>
      <c r="B34" s="57" t="str">
        <f aca="false">IF(AND(Xero_Raw!$C$15="Bill",Xero_Raw!$I$15&lt;&gt;"Paid"),Xero_Raw!$A$15+15,"")</f>
        <v/>
      </c>
      <c r="C34" s="58" t="str">
        <f aca="false">IF(AND(Xero_Raw!$C$15="Bill",Xero_Raw!$I$15&lt;&gt;"Paid"),Xero_Raw!$D$15,"")</f>
        <v/>
      </c>
      <c r="D34" s="59" t="str">
        <f aca="false">IF(AND(Xero_Raw!$C$15="Bill",Xero_Raw!$I$15&lt;&gt;"Paid"),Xero_Raw!$H$15,"")</f>
        <v/>
      </c>
      <c r="E34" s="58" t="str">
        <f aca="false">IF(AND(Xero_Raw!$C$15="Bill",Xero_Raw!$I$15&lt;&gt;"Paid"),Xero_Raw!$I$15,"")</f>
        <v/>
      </c>
      <c r="F34" s="58" t="str">
        <f aca="false">IF(B34="","",MAX($C$4-B34,0))</f>
        <v/>
      </c>
      <c r="G34" s="34" t="str">
        <f aca="false">IF(F34="","",IF(F34&lt;=30,"0-30",IF(F34&lt;=60,"31-60",IF(F34&lt;=90,"61-90","90+"))))</f>
        <v/>
      </c>
    </row>
    <row r="35" customFormat="false" ht="15" hidden="false" customHeight="true" outlineLevel="0" collapsed="false">
      <c r="A35" s="57" t="str">
        <f aca="false">IF(AND(Xero_Raw!$C$16="Bill",Xero_Raw!$I$16&lt;&gt;"Paid"),Xero_Raw!$A$16,"")</f>
        <v/>
      </c>
      <c r="B35" s="57" t="str">
        <f aca="false">IF(AND(Xero_Raw!$C$16="Bill",Xero_Raw!$I$16&lt;&gt;"Paid"),Xero_Raw!$A$16+15,"")</f>
        <v/>
      </c>
      <c r="C35" s="58" t="str">
        <f aca="false">IF(AND(Xero_Raw!$C$16="Bill",Xero_Raw!$I$16&lt;&gt;"Paid"),Xero_Raw!$D$16,"")</f>
        <v/>
      </c>
      <c r="D35" s="59" t="str">
        <f aca="false">IF(AND(Xero_Raw!$C$16="Bill",Xero_Raw!$I$16&lt;&gt;"Paid"),Xero_Raw!$H$16,"")</f>
        <v/>
      </c>
      <c r="E35" s="58" t="str">
        <f aca="false">IF(AND(Xero_Raw!$C$16="Bill",Xero_Raw!$I$16&lt;&gt;"Paid"),Xero_Raw!$I$16,"")</f>
        <v/>
      </c>
      <c r="F35" s="58" t="str">
        <f aca="false">IF(B35="","",MAX($C$4-B35,0))</f>
        <v/>
      </c>
      <c r="G35" s="34" t="str">
        <f aca="false">IF(F35="","",IF(F35&lt;=30,"0-30",IF(F35&lt;=60,"31-60",IF(F35&lt;=90,"61-90","90+"))))</f>
        <v/>
      </c>
    </row>
    <row r="36" customFormat="false" ht="15" hidden="false" customHeight="true" outlineLevel="0" collapsed="false">
      <c r="A36" s="57" t="str">
        <f aca="false">IF(AND(Xero_Raw!$C$17="Bill",Xero_Raw!$I$17&lt;&gt;"Paid"),Xero_Raw!$A$17,"")</f>
        <v/>
      </c>
      <c r="B36" s="57" t="str">
        <f aca="false">IF(AND(Xero_Raw!$C$17="Bill",Xero_Raw!$I$17&lt;&gt;"Paid"),Xero_Raw!$A$17+15,"")</f>
        <v/>
      </c>
      <c r="C36" s="58" t="str">
        <f aca="false">IF(AND(Xero_Raw!$C$17="Bill",Xero_Raw!$I$17&lt;&gt;"Paid"),Xero_Raw!$D$17,"")</f>
        <v/>
      </c>
      <c r="D36" s="59" t="str">
        <f aca="false">IF(AND(Xero_Raw!$C$17="Bill",Xero_Raw!$I$17&lt;&gt;"Paid"),Xero_Raw!$H$17,"")</f>
        <v/>
      </c>
      <c r="E36" s="58" t="str">
        <f aca="false">IF(AND(Xero_Raw!$C$17="Bill",Xero_Raw!$I$17&lt;&gt;"Paid"),Xero_Raw!$I$17,"")</f>
        <v/>
      </c>
      <c r="F36" s="58" t="str">
        <f aca="false">IF(B36="","",MAX($C$4-B36,0))</f>
        <v/>
      </c>
      <c r="G36" s="34" t="str">
        <f aca="false">IF(F36="","",IF(F36&lt;=30,"0-30",IF(F36&lt;=60,"31-60",IF(F36&lt;=90,"61-90","90+"))))</f>
        <v/>
      </c>
    </row>
    <row r="37" customFormat="false" ht="15" hidden="false" customHeight="true" outlineLevel="0" collapsed="false">
      <c r="A37" s="57" t="str">
        <f aca="false">IF(AND(Xero_Raw!$C$18="Bill",Xero_Raw!$I$18&lt;&gt;"Paid"),Xero_Raw!$A$18,"")</f>
        <v/>
      </c>
      <c r="B37" s="57" t="str">
        <f aca="false">IF(AND(Xero_Raw!$C$18="Bill",Xero_Raw!$I$18&lt;&gt;"Paid"),Xero_Raw!$A$18+15,"")</f>
        <v/>
      </c>
      <c r="C37" s="58" t="str">
        <f aca="false">IF(AND(Xero_Raw!$C$18="Bill",Xero_Raw!$I$18&lt;&gt;"Paid"),Xero_Raw!$D$18,"")</f>
        <v/>
      </c>
      <c r="D37" s="59" t="str">
        <f aca="false">IF(AND(Xero_Raw!$C$18="Bill",Xero_Raw!$I$18&lt;&gt;"Paid"),Xero_Raw!$H$18,"")</f>
        <v/>
      </c>
      <c r="E37" s="58" t="str">
        <f aca="false">IF(AND(Xero_Raw!$C$18="Bill",Xero_Raw!$I$18&lt;&gt;"Paid"),Xero_Raw!$I$18,"")</f>
        <v/>
      </c>
      <c r="F37" s="58" t="str">
        <f aca="false">IF(B37="","",MAX($C$4-B37,0))</f>
        <v/>
      </c>
      <c r="G37" s="34" t="str">
        <f aca="false">IF(F37="","",IF(F37&lt;=30,"0-30",IF(F37&lt;=60,"31-60",IF(F37&lt;=90,"61-90","90+"))))</f>
        <v/>
      </c>
    </row>
    <row r="38" customFormat="false" ht="15" hidden="false" customHeight="true" outlineLevel="0" collapsed="false">
      <c r="A38" s="57" t="str">
        <f aca="false">IF(AND(Xero_Raw!$C$19="Bill",Xero_Raw!$I$19&lt;&gt;"Paid"),Xero_Raw!$A$19,"")</f>
        <v/>
      </c>
      <c r="B38" s="57" t="str">
        <f aca="false">IF(AND(Xero_Raw!$C$19="Bill",Xero_Raw!$I$19&lt;&gt;"Paid"),Xero_Raw!$A$19+15,"")</f>
        <v/>
      </c>
      <c r="C38" s="58" t="str">
        <f aca="false">IF(AND(Xero_Raw!$C$19="Bill",Xero_Raw!$I$19&lt;&gt;"Paid"),Xero_Raw!$D$19,"")</f>
        <v/>
      </c>
      <c r="D38" s="59" t="str">
        <f aca="false">IF(AND(Xero_Raw!$C$19="Bill",Xero_Raw!$I$19&lt;&gt;"Paid"),Xero_Raw!$H$19,"")</f>
        <v/>
      </c>
      <c r="E38" s="58" t="str">
        <f aca="false">IF(AND(Xero_Raw!$C$19="Bill",Xero_Raw!$I$19&lt;&gt;"Paid"),Xero_Raw!$I$19,"")</f>
        <v/>
      </c>
      <c r="F38" s="58" t="str">
        <f aca="false">IF(B38="","",MAX($C$4-B38,0))</f>
        <v/>
      </c>
      <c r="G38" s="34" t="str">
        <f aca="false">IF(F38="","",IF(F38&lt;=30,"0-30",IF(F38&lt;=60,"31-60",IF(F38&lt;=90,"61-90","90+"))))</f>
        <v/>
      </c>
    </row>
    <row r="39" customFormat="false" ht="15" hidden="false" customHeight="true" outlineLevel="0" collapsed="false">
      <c r="A39" s="57" t="str">
        <f aca="false">IF(AND(Xero_Raw!$C$20="Bill",Xero_Raw!$I$20&lt;&gt;"Paid"),Xero_Raw!$A$20,"")</f>
        <v/>
      </c>
      <c r="B39" s="57" t="str">
        <f aca="false">IF(AND(Xero_Raw!$C$20="Bill",Xero_Raw!$I$20&lt;&gt;"Paid"),Xero_Raw!$A$20+15,"")</f>
        <v/>
      </c>
      <c r="C39" s="58" t="str">
        <f aca="false">IF(AND(Xero_Raw!$C$20="Bill",Xero_Raw!$I$20&lt;&gt;"Paid"),Xero_Raw!$D$20,"")</f>
        <v/>
      </c>
      <c r="D39" s="59" t="str">
        <f aca="false">IF(AND(Xero_Raw!$C$20="Bill",Xero_Raw!$I$20&lt;&gt;"Paid"),Xero_Raw!$H$20,"")</f>
        <v/>
      </c>
      <c r="E39" s="58" t="str">
        <f aca="false">IF(AND(Xero_Raw!$C$20="Bill",Xero_Raw!$I$20&lt;&gt;"Paid"),Xero_Raw!$I$20,"")</f>
        <v/>
      </c>
      <c r="F39" s="58" t="str">
        <f aca="false">IF(B39="","",MAX($C$4-B39,0))</f>
        <v/>
      </c>
      <c r="G39" s="34" t="str">
        <f aca="false">IF(F39="","",IF(F39&lt;=30,"0-30",IF(F39&lt;=60,"31-60",IF(F39&lt;=90,"61-90","90+"))))</f>
        <v/>
      </c>
    </row>
    <row r="40" customFormat="false" ht="15" hidden="false" customHeight="true" outlineLevel="0" collapsed="false">
      <c r="A40" s="57" t="str">
        <f aca="false">IF(AND(Xero_Raw!$C$21="Bill",Xero_Raw!$I$21&lt;&gt;"Paid"),Xero_Raw!$A$21,"")</f>
        <v/>
      </c>
      <c r="B40" s="57" t="str">
        <f aca="false">IF(AND(Xero_Raw!$C$21="Bill",Xero_Raw!$I$21&lt;&gt;"Paid"),Xero_Raw!$A$21+15,"")</f>
        <v/>
      </c>
      <c r="C40" s="58" t="str">
        <f aca="false">IF(AND(Xero_Raw!$C$21="Bill",Xero_Raw!$I$21&lt;&gt;"Paid"),Xero_Raw!$D$21,"")</f>
        <v/>
      </c>
      <c r="D40" s="59" t="str">
        <f aca="false">IF(AND(Xero_Raw!$C$21="Bill",Xero_Raw!$I$21&lt;&gt;"Paid"),Xero_Raw!$H$21,"")</f>
        <v/>
      </c>
      <c r="E40" s="58" t="str">
        <f aca="false">IF(AND(Xero_Raw!$C$21="Bill",Xero_Raw!$I$21&lt;&gt;"Paid"),Xero_Raw!$I$21,"")</f>
        <v/>
      </c>
      <c r="F40" s="58" t="str">
        <f aca="false">IF(B40="","",MAX($C$4-B40,0))</f>
        <v/>
      </c>
      <c r="G40" s="34" t="str">
        <f aca="false">IF(F40="","",IF(F40&lt;=30,"0-30",IF(F40&lt;=60,"31-60",IF(F40&lt;=90,"61-90","90+"))))</f>
        <v/>
      </c>
    </row>
    <row r="41" customFormat="false" ht="15" hidden="false" customHeight="true" outlineLevel="0" collapsed="false">
      <c r="A41" s="57" t="str">
        <f aca="false">IF(AND(Xero_Raw!$C$22="Bill",Xero_Raw!$I$22&lt;&gt;"Paid"),Xero_Raw!$A$22,"")</f>
        <v/>
      </c>
      <c r="B41" s="57" t="str">
        <f aca="false">IF(AND(Xero_Raw!$C$22="Bill",Xero_Raw!$I$22&lt;&gt;"Paid"),Xero_Raw!$A$22+15,"")</f>
        <v/>
      </c>
      <c r="C41" s="58" t="str">
        <f aca="false">IF(AND(Xero_Raw!$C$22="Bill",Xero_Raw!$I$22&lt;&gt;"Paid"),Xero_Raw!$D$22,"")</f>
        <v/>
      </c>
      <c r="D41" s="59" t="str">
        <f aca="false">IF(AND(Xero_Raw!$C$22="Bill",Xero_Raw!$I$22&lt;&gt;"Paid"),Xero_Raw!$H$22,"")</f>
        <v/>
      </c>
      <c r="E41" s="58" t="str">
        <f aca="false">IF(AND(Xero_Raw!$C$22="Bill",Xero_Raw!$I$22&lt;&gt;"Paid"),Xero_Raw!$I$22,"")</f>
        <v/>
      </c>
      <c r="F41" s="58" t="str">
        <f aca="false">IF(B41="","",MAX($C$4-B41,0))</f>
        <v/>
      </c>
      <c r="G41" s="34" t="str">
        <f aca="false">IF(F41="","",IF(F41&lt;=30,"0-30",IF(F41&lt;=60,"31-60",IF(F41&lt;=90,"61-90","90+"))))</f>
        <v/>
      </c>
    </row>
    <row r="42" customFormat="false" ht="15" hidden="false" customHeight="true" outlineLevel="0" collapsed="false">
      <c r="A42" s="57" t="str">
        <f aca="false">IF(AND(Xero_Raw!$C$23="Bill",Xero_Raw!$I$23&lt;&gt;"Paid"),Xero_Raw!$A$23,"")</f>
        <v/>
      </c>
      <c r="B42" s="57" t="str">
        <f aca="false">IF(AND(Xero_Raw!$C$23="Bill",Xero_Raw!$I$23&lt;&gt;"Paid"),Xero_Raw!$A$23+15,"")</f>
        <v/>
      </c>
      <c r="C42" s="58" t="str">
        <f aca="false">IF(AND(Xero_Raw!$C$23="Bill",Xero_Raw!$I$23&lt;&gt;"Paid"),Xero_Raw!$D$23,"")</f>
        <v/>
      </c>
      <c r="D42" s="59" t="str">
        <f aca="false">IF(AND(Xero_Raw!$C$23="Bill",Xero_Raw!$I$23&lt;&gt;"Paid"),Xero_Raw!$H$23,"")</f>
        <v/>
      </c>
      <c r="E42" s="58" t="str">
        <f aca="false">IF(AND(Xero_Raw!$C$23="Bill",Xero_Raw!$I$23&lt;&gt;"Paid"),Xero_Raw!$I$23,"")</f>
        <v/>
      </c>
      <c r="F42" s="58" t="str">
        <f aca="false">IF(B42="","",MAX($C$4-B42,0))</f>
        <v/>
      </c>
      <c r="G42" s="34" t="str">
        <f aca="false">IF(F42="","",IF(F42&lt;=30,"0-30",IF(F42&lt;=60,"31-60",IF(F42&lt;=90,"61-90","90+"))))</f>
        <v/>
      </c>
    </row>
    <row r="43" customFormat="false" ht="15" hidden="false" customHeight="true" outlineLevel="0" collapsed="false">
      <c r="A43" s="57" t="str">
        <f aca="false">IF(AND(Xero_Raw!$C$24="Bill",Xero_Raw!$I$24&lt;&gt;"Paid"),Xero_Raw!$A$24,"")</f>
        <v/>
      </c>
      <c r="B43" s="57" t="str">
        <f aca="false">IF(AND(Xero_Raw!$C$24="Bill",Xero_Raw!$I$24&lt;&gt;"Paid"),Xero_Raw!$A$24+15,"")</f>
        <v/>
      </c>
      <c r="C43" s="58" t="str">
        <f aca="false">IF(AND(Xero_Raw!$C$24="Bill",Xero_Raw!$I$24&lt;&gt;"Paid"),Xero_Raw!$D$24,"")</f>
        <v/>
      </c>
      <c r="D43" s="59" t="str">
        <f aca="false">IF(AND(Xero_Raw!$C$24="Bill",Xero_Raw!$I$24&lt;&gt;"Paid"),Xero_Raw!$H$24,"")</f>
        <v/>
      </c>
      <c r="E43" s="58" t="str">
        <f aca="false">IF(AND(Xero_Raw!$C$24="Bill",Xero_Raw!$I$24&lt;&gt;"Paid"),Xero_Raw!$I$24,"")</f>
        <v/>
      </c>
      <c r="F43" s="58" t="str">
        <f aca="false">IF(B43="","",MAX($C$4-B43,0))</f>
        <v/>
      </c>
      <c r="G43" s="34" t="str">
        <f aca="false">IF(F43="","",IF(F43&lt;=30,"0-30",IF(F43&lt;=60,"31-60",IF(F43&lt;=90,"61-90","90+"))))</f>
        <v/>
      </c>
    </row>
    <row r="44" customFormat="false" ht="15" hidden="false" customHeight="true" outlineLevel="0" collapsed="false">
      <c r="A44" s="57" t="str">
        <f aca="false">IF(AND(Xero_Raw!$C$25="Bill",Xero_Raw!$I$25&lt;&gt;"Paid"),Xero_Raw!$A$25,"")</f>
        <v/>
      </c>
      <c r="B44" s="57" t="str">
        <f aca="false">IF(AND(Xero_Raw!$C$25="Bill",Xero_Raw!$I$25&lt;&gt;"Paid"),Xero_Raw!$A$25+15,"")</f>
        <v/>
      </c>
      <c r="C44" s="58" t="str">
        <f aca="false">IF(AND(Xero_Raw!$C$25="Bill",Xero_Raw!$I$25&lt;&gt;"Paid"),Xero_Raw!$D$25,"")</f>
        <v/>
      </c>
      <c r="D44" s="59" t="str">
        <f aca="false">IF(AND(Xero_Raw!$C$25="Bill",Xero_Raw!$I$25&lt;&gt;"Paid"),Xero_Raw!$H$25,"")</f>
        <v/>
      </c>
      <c r="E44" s="58" t="str">
        <f aca="false">IF(AND(Xero_Raw!$C$25="Bill",Xero_Raw!$I$25&lt;&gt;"Paid"),Xero_Raw!$I$25,"")</f>
        <v/>
      </c>
      <c r="F44" s="58" t="str">
        <f aca="false">IF(B44="","",MAX($C$4-B44,0))</f>
        <v/>
      </c>
      <c r="G44" s="34" t="str">
        <f aca="false">IF(F44="","",IF(F44&lt;=30,"0-30",IF(F44&lt;=60,"31-60",IF(F44&lt;=90,"61-90","90+"))))</f>
        <v/>
      </c>
    </row>
    <row r="45" customFormat="false" ht="15" hidden="false" customHeight="true" outlineLevel="0" collapsed="false">
      <c r="A45" s="57" t="str">
        <f aca="false">IF(AND(Xero_Raw!$C$26="Bill",Xero_Raw!$I$26&lt;&gt;"Paid"),Xero_Raw!$A$26,"")</f>
        <v/>
      </c>
      <c r="B45" s="57" t="str">
        <f aca="false">IF(AND(Xero_Raw!$C$26="Bill",Xero_Raw!$I$26&lt;&gt;"Paid"),Xero_Raw!$A$26+15,"")</f>
        <v/>
      </c>
      <c r="C45" s="58" t="str">
        <f aca="false">IF(AND(Xero_Raw!$C$26="Bill",Xero_Raw!$I$26&lt;&gt;"Paid"),Xero_Raw!$D$26,"")</f>
        <v/>
      </c>
      <c r="D45" s="59" t="str">
        <f aca="false">IF(AND(Xero_Raw!$C$26="Bill",Xero_Raw!$I$26&lt;&gt;"Paid"),Xero_Raw!$H$26,"")</f>
        <v/>
      </c>
      <c r="E45" s="58" t="str">
        <f aca="false">IF(AND(Xero_Raw!$C$26="Bill",Xero_Raw!$I$26&lt;&gt;"Paid"),Xero_Raw!$I$26,"")</f>
        <v/>
      </c>
      <c r="F45" s="58" t="str">
        <f aca="false">IF(B45="","",MAX($C$4-B45,0))</f>
        <v/>
      </c>
      <c r="G45" s="34" t="str">
        <f aca="false">IF(F45="","",IF(F45&lt;=30,"0-30",IF(F45&lt;=60,"31-60",IF(F45&lt;=90,"61-90","90+"))))</f>
        <v/>
      </c>
    </row>
    <row r="46" customFormat="false" ht="15" hidden="false" customHeight="true" outlineLevel="0" collapsed="false">
      <c r="A46" s="57" t="str">
        <f aca="false">IF(AND(Xero_Raw!$C$27="Bill",Xero_Raw!$I$27&lt;&gt;"Paid"),Xero_Raw!$A$27,"")</f>
        <v/>
      </c>
      <c r="B46" s="57" t="str">
        <f aca="false">IF(AND(Xero_Raw!$C$27="Bill",Xero_Raw!$I$27&lt;&gt;"Paid"),Xero_Raw!$A$27+15,"")</f>
        <v/>
      </c>
      <c r="C46" s="58" t="str">
        <f aca="false">IF(AND(Xero_Raw!$C$27="Bill",Xero_Raw!$I$27&lt;&gt;"Paid"),Xero_Raw!$D$27,"")</f>
        <v/>
      </c>
      <c r="D46" s="59" t="str">
        <f aca="false">IF(AND(Xero_Raw!$C$27="Bill",Xero_Raw!$I$27&lt;&gt;"Paid"),Xero_Raw!$H$27,"")</f>
        <v/>
      </c>
      <c r="E46" s="58" t="str">
        <f aca="false">IF(AND(Xero_Raw!$C$27="Bill",Xero_Raw!$I$27&lt;&gt;"Paid"),Xero_Raw!$I$27,"")</f>
        <v/>
      </c>
      <c r="F46" s="58" t="str">
        <f aca="false">IF(B46="","",MAX($C$4-B46,0))</f>
        <v/>
      </c>
      <c r="G46" s="34" t="str">
        <f aca="false">IF(F46="","",IF(F46&lt;=30,"0-30",IF(F46&lt;=60,"31-60",IF(F46&lt;=90,"61-90","90+"))))</f>
        <v/>
      </c>
    </row>
    <row r="47" customFormat="false" ht="15" hidden="false" customHeight="true" outlineLevel="0" collapsed="false">
      <c r="A47" s="57" t="str">
        <f aca="false">IF(AND(Xero_Raw!$C$28="Bill",Xero_Raw!$I$28&lt;&gt;"Paid"),Xero_Raw!$A$28,"")</f>
        <v/>
      </c>
      <c r="B47" s="57" t="str">
        <f aca="false">IF(AND(Xero_Raw!$C$28="Bill",Xero_Raw!$I$28&lt;&gt;"Paid"),Xero_Raw!$A$28+15,"")</f>
        <v/>
      </c>
      <c r="C47" s="58" t="str">
        <f aca="false">IF(AND(Xero_Raw!$C$28="Bill",Xero_Raw!$I$28&lt;&gt;"Paid"),Xero_Raw!$D$28,"")</f>
        <v/>
      </c>
      <c r="D47" s="59" t="str">
        <f aca="false">IF(AND(Xero_Raw!$C$28="Bill",Xero_Raw!$I$28&lt;&gt;"Paid"),Xero_Raw!$H$28,"")</f>
        <v/>
      </c>
      <c r="E47" s="58" t="str">
        <f aca="false">IF(AND(Xero_Raw!$C$28="Bill",Xero_Raw!$I$28&lt;&gt;"Paid"),Xero_Raw!$I$28,"")</f>
        <v/>
      </c>
      <c r="F47" s="58" t="str">
        <f aca="false">IF(B47="","",MAX($C$4-B47,0))</f>
        <v/>
      </c>
      <c r="G47" s="34" t="str">
        <f aca="false">IF(F47="","",IF(F47&lt;=30,"0-30",IF(F47&lt;=60,"31-60",IF(F47&lt;=90,"61-90","90+"))))</f>
        <v/>
      </c>
    </row>
    <row r="48" customFormat="false" ht="15" hidden="false" customHeight="true" outlineLevel="0" collapsed="false">
      <c r="A48" s="57" t="str">
        <f aca="false">IF(AND(Xero_Raw!$C$29="Bill",Xero_Raw!$I$29&lt;&gt;"Paid"),Xero_Raw!$A$29,"")</f>
        <v/>
      </c>
      <c r="B48" s="57" t="str">
        <f aca="false">IF(AND(Xero_Raw!$C$29="Bill",Xero_Raw!$I$29&lt;&gt;"Paid"),Xero_Raw!$A$29+15,"")</f>
        <v/>
      </c>
      <c r="C48" s="58" t="str">
        <f aca="false">IF(AND(Xero_Raw!$C$29="Bill",Xero_Raw!$I$29&lt;&gt;"Paid"),Xero_Raw!$D$29,"")</f>
        <v/>
      </c>
      <c r="D48" s="59" t="str">
        <f aca="false">IF(AND(Xero_Raw!$C$29="Bill",Xero_Raw!$I$29&lt;&gt;"Paid"),Xero_Raw!$H$29,"")</f>
        <v/>
      </c>
      <c r="E48" s="58" t="str">
        <f aca="false">IF(AND(Xero_Raw!$C$29="Bill",Xero_Raw!$I$29&lt;&gt;"Paid"),Xero_Raw!$I$29,"")</f>
        <v/>
      </c>
      <c r="F48" s="58" t="str">
        <f aca="false">IF(B48="","",MAX($C$4-B48,0))</f>
        <v/>
      </c>
      <c r="G48" s="34" t="str">
        <f aca="false">IF(F48="","",IF(F48&lt;=30,"0-30",IF(F48&lt;=60,"31-60",IF(F48&lt;=90,"61-90","90+"))))</f>
        <v/>
      </c>
    </row>
    <row r="49" customFormat="false" ht="15" hidden="false" customHeight="true" outlineLevel="0" collapsed="false">
      <c r="A49" s="57" t="str">
        <f aca="false">IF(AND(Xero_Raw!$C$30="Bill",Xero_Raw!$I$30&lt;&gt;"Paid"),Xero_Raw!$A$30,"")</f>
        <v/>
      </c>
      <c r="B49" s="57" t="str">
        <f aca="false">IF(AND(Xero_Raw!$C$30="Bill",Xero_Raw!$I$30&lt;&gt;"Paid"),Xero_Raw!$A$30+15,"")</f>
        <v/>
      </c>
      <c r="C49" s="58" t="str">
        <f aca="false">IF(AND(Xero_Raw!$C$30="Bill",Xero_Raw!$I$30&lt;&gt;"Paid"),Xero_Raw!$D$30,"")</f>
        <v/>
      </c>
      <c r="D49" s="59" t="str">
        <f aca="false">IF(AND(Xero_Raw!$C$30="Bill",Xero_Raw!$I$30&lt;&gt;"Paid"),Xero_Raw!$H$30,"")</f>
        <v/>
      </c>
      <c r="E49" s="58" t="str">
        <f aca="false">IF(AND(Xero_Raw!$C$30="Bill",Xero_Raw!$I$30&lt;&gt;"Paid"),Xero_Raw!$I$30,"")</f>
        <v/>
      </c>
      <c r="F49" s="58" t="str">
        <f aca="false">IF(B49="","",MAX($C$4-B49,0))</f>
        <v/>
      </c>
      <c r="G49" s="34" t="str">
        <f aca="false">IF(F49="","",IF(F49&lt;=30,"0-30",IF(F49&lt;=60,"31-60",IF(F49&lt;=90,"61-90","90+"))))</f>
        <v/>
      </c>
    </row>
    <row r="50" customFormat="false" ht="15" hidden="false" customHeight="true" outlineLevel="0" collapsed="false">
      <c r="A50" s="57" t="str">
        <f aca="false">IF(AND(Xero_Raw!$C$31="Bill",Xero_Raw!$I$31&lt;&gt;"Paid"),Xero_Raw!$A$31,"")</f>
        <v/>
      </c>
      <c r="B50" s="57" t="str">
        <f aca="false">IF(AND(Xero_Raw!$C$31="Bill",Xero_Raw!$I$31&lt;&gt;"Paid"),Xero_Raw!$A$31+15,"")</f>
        <v/>
      </c>
      <c r="C50" s="58" t="str">
        <f aca="false">IF(AND(Xero_Raw!$C$31="Bill",Xero_Raw!$I$31&lt;&gt;"Paid"),Xero_Raw!$D$31,"")</f>
        <v/>
      </c>
      <c r="D50" s="59" t="str">
        <f aca="false">IF(AND(Xero_Raw!$C$31="Bill",Xero_Raw!$I$31&lt;&gt;"Paid"),Xero_Raw!$H$31,"")</f>
        <v/>
      </c>
      <c r="E50" s="58" t="str">
        <f aca="false">IF(AND(Xero_Raw!$C$31="Bill",Xero_Raw!$I$31&lt;&gt;"Paid"),Xero_Raw!$I$31,"")</f>
        <v/>
      </c>
      <c r="F50" s="58" t="str">
        <f aca="false">IF(B50="","",MAX($C$4-B50,0))</f>
        <v/>
      </c>
      <c r="G50" s="34" t="str">
        <f aca="false">IF(F50="","",IF(F50&lt;=30,"0-30",IF(F50&lt;=60,"31-60",IF(F50&lt;=90,"61-90","90+"))))</f>
        <v/>
      </c>
    </row>
    <row r="51" customFormat="false" ht="15" hidden="false" customHeight="true" outlineLevel="0" collapsed="false">
      <c r="A51" s="57" t="str">
        <f aca="false">IF(AND(Xero_Raw!$C$32="Bill",Xero_Raw!$I$32&lt;&gt;"Paid"),Xero_Raw!$A$32,"")</f>
        <v/>
      </c>
      <c r="B51" s="57" t="str">
        <f aca="false">IF(AND(Xero_Raw!$C$32="Bill",Xero_Raw!$I$32&lt;&gt;"Paid"),Xero_Raw!$A$32+15,"")</f>
        <v/>
      </c>
      <c r="C51" s="58" t="str">
        <f aca="false">IF(AND(Xero_Raw!$C$32="Bill",Xero_Raw!$I$32&lt;&gt;"Paid"),Xero_Raw!$D$32,"")</f>
        <v/>
      </c>
      <c r="D51" s="59" t="str">
        <f aca="false">IF(AND(Xero_Raw!$C$32="Bill",Xero_Raw!$I$32&lt;&gt;"Paid"),Xero_Raw!$H$32,"")</f>
        <v/>
      </c>
      <c r="E51" s="58" t="str">
        <f aca="false">IF(AND(Xero_Raw!$C$32="Bill",Xero_Raw!$I$32&lt;&gt;"Paid"),Xero_Raw!$I$32,"")</f>
        <v/>
      </c>
      <c r="F51" s="58" t="str">
        <f aca="false">IF(B51="","",MAX($C$4-B51,0))</f>
        <v/>
      </c>
      <c r="G51" s="34" t="str">
        <f aca="false">IF(F51="","",IF(F51&lt;=30,"0-30",IF(F51&lt;=60,"31-60",IF(F51&lt;=90,"61-90","90+"))))</f>
        <v/>
      </c>
    </row>
    <row r="52" customFormat="false" ht="15" hidden="false" customHeight="true" outlineLevel="0" collapsed="false">
      <c r="A52" s="57" t="str">
        <f aca="false">IF(AND(Xero_Raw!$C$33="Bill",Xero_Raw!$I$33&lt;&gt;"Paid"),Xero_Raw!$A$33,"")</f>
        <v/>
      </c>
      <c r="B52" s="57" t="str">
        <f aca="false">IF(AND(Xero_Raw!$C$33="Bill",Xero_Raw!$I$33&lt;&gt;"Paid"),Xero_Raw!$A$33+15,"")</f>
        <v/>
      </c>
      <c r="C52" s="58" t="str">
        <f aca="false">IF(AND(Xero_Raw!$C$33="Bill",Xero_Raw!$I$33&lt;&gt;"Paid"),Xero_Raw!$D$33,"")</f>
        <v/>
      </c>
      <c r="D52" s="59" t="str">
        <f aca="false">IF(AND(Xero_Raw!$C$33="Bill",Xero_Raw!$I$33&lt;&gt;"Paid"),Xero_Raw!$H$33,"")</f>
        <v/>
      </c>
      <c r="E52" s="58" t="str">
        <f aca="false">IF(AND(Xero_Raw!$C$33="Bill",Xero_Raw!$I$33&lt;&gt;"Paid"),Xero_Raw!$I$33,"")</f>
        <v/>
      </c>
      <c r="F52" s="58" t="str">
        <f aca="false">IF(B52="","",MAX($C$4-B52,0))</f>
        <v/>
      </c>
      <c r="G52" s="34" t="str">
        <f aca="false">IF(F52="","",IF(F52&lt;=30,"0-30",IF(F52&lt;=60,"31-60",IF(F52&lt;=90,"61-90","90+"))))</f>
        <v/>
      </c>
    </row>
    <row r="53" customFormat="false" ht="15" hidden="false" customHeight="true" outlineLevel="0" collapsed="false">
      <c r="A53" s="57" t="str">
        <f aca="false">IF(AND(Xero_Raw!$C$34="Bill",Xero_Raw!$I$34&lt;&gt;"Paid"),Xero_Raw!$A$34,"")</f>
        <v/>
      </c>
      <c r="B53" s="57" t="str">
        <f aca="false">IF(AND(Xero_Raw!$C$34="Bill",Xero_Raw!$I$34&lt;&gt;"Paid"),Xero_Raw!$A$34+15,"")</f>
        <v/>
      </c>
      <c r="C53" s="58" t="str">
        <f aca="false">IF(AND(Xero_Raw!$C$34="Bill",Xero_Raw!$I$34&lt;&gt;"Paid"),Xero_Raw!$D$34,"")</f>
        <v/>
      </c>
      <c r="D53" s="59" t="str">
        <f aca="false">IF(AND(Xero_Raw!$C$34="Bill",Xero_Raw!$I$34&lt;&gt;"Paid"),Xero_Raw!$H$34,"")</f>
        <v/>
      </c>
      <c r="E53" s="58" t="str">
        <f aca="false">IF(AND(Xero_Raw!$C$34="Bill",Xero_Raw!$I$34&lt;&gt;"Paid"),Xero_Raw!$I$34,"")</f>
        <v/>
      </c>
      <c r="F53" s="58" t="str">
        <f aca="false">IF(B53="","",MAX($C$4-B53,0))</f>
        <v/>
      </c>
      <c r="G53" s="34" t="str">
        <f aca="false">IF(F53="","",IF(F53&lt;=30,"0-30",IF(F53&lt;=60,"31-60",IF(F53&lt;=90,"61-90","90+"))))</f>
        <v/>
      </c>
    </row>
    <row r="54" customFormat="false" ht="15" hidden="false" customHeight="true" outlineLevel="0" collapsed="false">
      <c r="A54" s="57" t="str">
        <f aca="false">IF(AND(Xero_Raw!$C$35="Bill",Xero_Raw!$I$35&lt;&gt;"Paid"),Xero_Raw!$A$35,"")</f>
        <v/>
      </c>
      <c r="B54" s="57" t="str">
        <f aca="false">IF(AND(Xero_Raw!$C$35="Bill",Xero_Raw!$I$35&lt;&gt;"Paid"),Xero_Raw!$A$35+15,"")</f>
        <v/>
      </c>
      <c r="C54" s="58" t="str">
        <f aca="false">IF(AND(Xero_Raw!$C$35="Bill",Xero_Raw!$I$35&lt;&gt;"Paid"),Xero_Raw!$D$35,"")</f>
        <v/>
      </c>
      <c r="D54" s="59" t="str">
        <f aca="false">IF(AND(Xero_Raw!$C$35="Bill",Xero_Raw!$I$35&lt;&gt;"Paid"),Xero_Raw!$H$35,"")</f>
        <v/>
      </c>
      <c r="E54" s="58" t="str">
        <f aca="false">IF(AND(Xero_Raw!$C$35="Bill",Xero_Raw!$I$35&lt;&gt;"Paid"),Xero_Raw!$I$35,"")</f>
        <v/>
      </c>
      <c r="F54" s="58" t="str">
        <f aca="false">IF(B54="","",MAX($C$4-B54,0))</f>
        <v/>
      </c>
      <c r="G54" s="34" t="str">
        <f aca="false">IF(F54="","",IF(F54&lt;=30,"0-30",IF(F54&lt;=60,"31-60",IF(F54&lt;=90,"61-90","90+"))))</f>
        <v/>
      </c>
    </row>
    <row r="55" customFormat="false" ht="15" hidden="false" customHeight="true" outlineLevel="0" collapsed="false">
      <c r="A55" s="57" t="str">
        <f aca="false">IF(AND(Xero_Raw!$C$36="Bill",Xero_Raw!$I$36&lt;&gt;"Paid"),Xero_Raw!$A$36,"")</f>
        <v/>
      </c>
      <c r="B55" s="57" t="str">
        <f aca="false">IF(AND(Xero_Raw!$C$36="Bill",Xero_Raw!$I$36&lt;&gt;"Paid"),Xero_Raw!$A$36+15,"")</f>
        <v/>
      </c>
      <c r="C55" s="58" t="str">
        <f aca="false">IF(AND(Xero_Raw!$C$36="Bill",Xero_Raw!$I$36&lt;&gt;"Paid"),Xero_Raw!$D$36,"")</f>
        <v/>
      </c>
      <c r="D55" s="59" t="str">
        <f aca="false">IF(AND(Xero_Raw!$C$36="Bill",Xero_Raw!$I$36&lt;&gt;"Paid"),Xero_Raw!$H$36,"")</f>
        <v/>
      </c>
      <c r="E55" s="58" t="str">
        <f aca="false">IF(AND(Xero_Raw!$C$36="Bill",Xero_Raw!$I$36&lt;&gt;"Paid"),Xero_Raw!$I$36,"")</f>
        <v/>
      </c>
      <c r="F55" s="58" t="str">
        <f aca="false">IF(B55="","",MAX($C$4-B55,0))</f>
        <v/>
      </c>
      <c r="G55" s="34" t="str">
        <f aca="false">IF(F55="","",IF(F55&lt;=30,"0-30",IF(F55&lt;=60,"31-60",IF(F55&lt;=90,"61-90","90+"))))</f>
        <v/>
      </c>
    </row>
    <row r="56" customFormat="false" ht="15" hidden="false" customHeight="true" outlineLevel="0" collapsed="false">
      <c r="A56" s="57" t="str">
        <f aca="false">IF(AND(Xero_Raw!$C$37="Bill",Xero_Raw!$I$37&lt;&gt;"Paid"),Xero_Raw!$A$37,"")</f>
        <v/>
      </c>
      <c r="B56" s="57" t="str">
        <f aca="false">IF(AND(Xero_Raw!$C$37="Bill",Xero_Raw!$I$37&lt;&gt;"Paid"),Xero_Raw!$A$37+15,"")</f>
        <v/>
      </c>
      <c r="C56" s="58" t="str">
        <f aca="false">IF(AND(Xero_Raw!$C$37="Bill",Xero_Raw!$I$37&lt;&gt;"Paid"),Xero_Raw!$D$37,"")</f>
        <v/>
      </c>
      <c r="D56" s="59" t="str">
        <f aca="false">IF(AND(Xero_Raw!$C$37="Bill",Xero_Raw!$I$37&lt;&gt;"Paid"),Xero_Raw!$H$37,"")</f>
        <v/>
      </c>
      <c r="E56" s="58" t="str">
        <f aca="false">IF(AND(Xero_Raw!$C$37="Bill",Xero_Raw!$I$37&lt;&gt;"Paid"),Xero_Raw!$I$37,"")</f>
        <v/>
      </c>
      <c r="F56" s="58" t="str">
        <f aca="false">IF(B56="","",MAX($C$4-B56,0))</f>
        <v/>
      </c>
      <c r="G56" s="34" t="str">
        <f aca="false">IF(F56="","",IF(F56&lt;=30,"0-30",IF(F56&lt;=60,"31-60",IF(F56&lt;=90,"61-90","90+"))))</f>
        <v/>
      </c>
    </row>
    <row r="57" customFormat="false" ht="15" hidden="false" customHeight="true" outlineLevel="0" collapsed="false">
      <c r="A57" s="57" t="str">
        <f aca="false">IF(AND(Xero_Raw!$C$38="Bill",Xero_Raw!$I$38&lt;&gt;"Paid"),Xero_Raw!$A$38,"")</f>
        <v/>
      </c>
      <c r="B57" s="57" t="str">
        <f aca="false">IF(AND(Xero_Raw!$C$38="Bill",Xero_Raw!$I$38&lt;&gt;"Paid"),Xero_Raw!$A$38+15,"")</f>
        <v/>
      </c>
      <c r="C57" s="58" t="str">
        <f aca="false">IF(AND(Xero_Raw!$C$38="Bill",Xero_Raw!$I$38&lt;&gt;"Paid"),Xero_Raw!$D$38,"")</f>
        <v/>
      </c>
      <c r="D57" s="59" t="str">
        <f aca="false">IF(AND(Xero_Raw!$C$38="Bill",Xero_Raw!$I$38&lt;&gt;"Paid"),Xero_Raw!$H$38,"")</f>
        <v/>
      </c>
      <c r="E57" s="58" t="str">
        <f aca="false">IF(AND(Xero_Raw!$C$38="Bill",Xero_Raw!$I$38&lt;&gt;"Paid"),Xero_Raw!$I$38,"")</f>
        <v/>
      </c>
      <c r="F57" s="58" t="str">
        <f aca="false">IF(B57="","",MAX($C$4-B57,0))</f>
        <v/>
      </c>
      <c r="G57" s="34" t="str">
        <f aca="false">IF(F57="","",IF(F57&lt;=30,"0-30",IF(F57&lt;=60,"31-60",IF(F57&lt;=90,"61-90","90+"))))</f>
        <v/>
      </c>
    </row>
    <row r="58" customFormat="false" ht="15" hidden="false" customHeight="true" outlineLevel="0" collapsed="false">
      <c r="A58" s="57" t="str">
        <f aca="false">IF(AND(Xero_Raw!$C$39="Bill",Xero_Raw!$I$39&lt;&gt;"Paid"),Xero_Raw!$A$39,"")</f>
        <v/>
      </c>
      <c r="B58" s="57" t="str">
        <f aca="false">IF(AND(Xero_Raw!$C$39="Bill",Xero_Raw!$I$39&lt;&gt;"Paid"),Xero_Raw!$A$39+15,"")</f>
        <v/>
      </c>
      <c r="C58" s="58" t="str">
        <f aca="false">IF(AND(Xero_Raw!$C$39="Bill",Xero_Raw!$I$39&lt;&gt;"Paid"),Xero_Raw!$D$39,"")</f>
        <v/>
      </c>
      <c r="D58" s="59" t="str">
        <f aca="false">IF(AND(Xero_Raw!$C$39="Bill",Xero_Raw!$I$39&lt;&gt;"Paid"),Xero_Raw!$H$39,"")</f>
        <v/>
      </c>
      <c r="E58" s="58" t="str">
        <f aca="false">IF(AND(Xero_Raw!$C$39="Bill",Xero_Raw!$I$39&lt;&gt;"Paid"),Xero_Raw!$I$39,"")</f>
        <v/>
      </c>
      <c r="F58" s="58" t="str">
        <f aca="false">IF(B58="","",MAX($C$4-B58,0))</f>
        <v/>
      </c>
      <c r="G58" s="34" t="str">
        <f aca="false">IF(F58="","",IF(F58&lt;=30,"0-30",IF(F58&lt;=60,"31-60",IF(F58&lt;=90,"61-90","90+"))))</f>
        <v/>
      </c>
    </row>
    <row r="59" customFormat="false" ht="15" hidden="false" customHeight="true" outlineLevel="0" collapsed="false">
      <c r="A59" s="57" t="str">
        <f aca="false">IF(AND(Xero_Raw!$C$40="Bill",Xero_Raw!$I$40&lt;&gt;"Paid"),Xero_Raw!$A$40,"")</f>
        <v/>
      </c>
      <c r="B59" s="57" t="str">
        <f aca="false">IF(AND(Xero_Raw!$C$40="Bill",Xero_Raw!$I$40&lt;&gt;"Paid"),Xero_Raw!$A$40+15,"")</f>
        <v/>
      </c>
      <c r="C59" s="58" t="str">
        <f aca="false">IF(AND(Xero_Raw!$C$40="Bill",Xero_Raw!$I$40&lt;&gt;"Paid"),Xero_Raw!$D$40,"")</f>
        <v/>
      </c>
      <c r="D59" s="59" t="str">
        <f aca="false">IF(AND(Xero_Raw!$C$40="Bill",Xero_Raw!$I$40&lt;&gt;"Paid"),Xero_Raw!$H$40,"")</f>
        <v/>
      </c>
      <c r="E59" s="58" t="str">
        <f aca="false">IF(AND(Xero_Raw!$C$40="Bill",Xero_Raw!$I$40&lt;&gt;"Paid"),Xero_Raw!$I$40,"")</f>
        <v/>
      </c>
      <c r="F59" s="58" t="str">
        <f aca="false">IF(B59="","",MAX($C$4-B59,0))</f>
        <v/>
      </c>
      <c r="G59" s="34" t="str">
        <f aca="false">IF(F59="","",IF(F59&lt;=30,"0-30",IF(F59&lt;=60,"31-60",IF(F59&lt;=90,"61-90","90+"))))</f>
        <v/>
      </c>
    </row>
    <row r="60" customFormat="false" ht="15" hidden="false" customHeight="true" outlineLevel="0" collapsed="false">
      <c r="A60" s="57" t="str">
        <f aca="false">IF(AND(Xero_Raw!$C$41="Bill",Xero_Raw!$I$41&lt;&gt;"Paid"),Xero_Raw!$A$41,"")</f>
        <v/>
      </c>
      <c r="B60" s="57" t="str">
        <f aca="false">IF(AND(Xero_Raw!$C$41="Bill",Xero_Raw!$I$41&lt;&gt;"Paid"),Xero_Raw!$A$41+15,"")</f>
        <v/>
      </c>
      <c r="C60" s="58" t="str">
        <f aca="false">IF(AND(Xero_Raw!$C$41="Bill",Xero_Raw!$I$41&lt;&gt;"Paid"),Xero_Raw!$D$41,"")</f>
        <v/>
      </c>
      <c r="D60" s="59" t="str">
        <f aca="false">IF(AND(Xero_Raw!$C$41="Bill",Xero_Raw!$I$41&lt;&gt;"Paid"),Xero_Raw!$H$41,"")</f>
        <v/>
      </c>
      <c r="E60" s="58" t="str">
        <f aca="false">IF(AND(Xero_Raw!$C$41="Bill",Xero_Raw!$I$41&lt;&gt;"Paid"),Xero_Raw!$I$41,"")</f>
        <v/>
      </c>
      <c r="F60" s="58" t="str">
        <f aca="false">IF(B60="","",MAX($C$4-B60,0))</f>
        <v/>
      </c>
      <c r="G60" s="34" t="str">
        <f aca="false">IF(F60="","",IF(F60&lt;=30,"0-30",IF(F60&lt;=60,"31-60",IF(F60&lt;=90,"61-90","90+"))))</f>
        <v/>
      </c>
    </row>
    <row r="61" customFormat="false" ht="15" hidden="false" customHeight="true" outlineLevel="0" collapsed="false">
      <c r="A61" s="57" t="str">
        <f aca="false">IF(AND(Xero_Raw!$C$42="Bill",Xero_Raw!$I$42&lt;&gt;"Paid"),Xero_Raw!$A$42,"")</f>
        <v/>
      </c>
      <c r="B61" s="57" t="str">
        <f aca="false">IF(AND(Xero_Raw!$C$42="Bill",Xero_Raw!$I$42&lt;&gt;"Paid"),Xero_Raw!$A$42+15,"")</f>
        <v/>
      </c>
      <c r="C61" s="58" t="str">
        <f aca="false">IF(AND(Xero_Raw!$C$42="Bill",Xero_Raw!$I$42&lt;&gt;"Paid"),Xero_Raw!$D$42,"")</f>
        <v/>
      </c>
      <c r="D61" s="59" t="str">
        <f aca="false">IF(AND(Xero_Raw!$C$42="Bill",Xero_Raw!$I$42&lt;&gt;"Paid"),Xero_Raw!$H$42,"")</f>
        <v/>
      </c>
      <c r="E61" s="58" t="str">
        <f aca="false">IF(AND(Xero_Raw!$C$42="Bill",Xero_Raw!$I$42&lt;&gt;"Paid"),Xero_Raw!$I$42,"")</f>
        <v/>
      </c>
      <c r="F61" s="58" t="str">
        <f aca="false">IF(B61="","",MAX($C$4-B61,0))</f>
        <v/>
      </c>
      <c r="G61" s="34" t="str">
        <f aca="false">IF(F61="","",IF(F61&lt;=30,"0-30",IF(F61&lt;=60,"31-60",IF(F61&lt;=90,"61-90","90+"))))</f>
        <v/>
      </c>
    </row>
    <row r="63" customFormat="false" ht="15" hidden="false" customHeight="true" outlineLevel="0" collapsed="false">
      <c r="A63" s="55" t="s">
        <v>439</v>
      </c>
    </row>
    <row r="64" customFormat="false" ht="19.5" hidden="false" customHeight="true" outlineLevel="0" collapsed="false">
      <c r="A64" s="56" t="s">
        <v>373</v>
      </c>
      <c r="B64" s="56" t="s">
        <v>440</v>
      </c>
      <c r="C64" s="56" t="s">
        <v>441</v>
      </c>
      <c r="D64" s="56" t="s">
        <v>442</v>
      </c>
      <c r="E64" s="56" t="s">
        <v>443</v>
      </c>
      <c r="F64" s="56" t="s">
        <v>444</v>
      </c>
    </row>
    <row r="65" customFormat="false" ht="15" hidden="false" customHeight="true" outlineLevel="0" collapsed="false">
      <c r="A65" s="34" t="s">
        <v>392</v>
      </c>
      <c r="B65" s="60" t="n">
        <f aca="false">SUMIFS($D$8:$D$19,$C$8:$C$19,$A65,$G$8:$G$19,"0-30")+SUMIFS($D$23:$D$61,$C$23:$C$61,$A65,$G$23:$G$61,"0-30")</f>
        <v>4149.25</v>
      </c>
      <c r="C65" s="60" t="n">
        <f aca="false">SUMIFS($D$8:$D$19,$C$8:$C$19,$A65,$G$8:$G$19,"31-60")+SUMIFS($D$23:$D$61,$C$23:$C$61,$A65,$G$23:$G$61,"31-60")</f>
        <v>0</v>
      </c>
      <c r="D65" s="60" t="n">
        <f aca="false">SUMIFS($D$8:$D$19,$C$8:$C$19,$A65,$G$8:$G$19,"61-90")+SUMIFS($D$23:$D$61,$C$23:$C$61,$A65,$G$23:$G$61,"61-90")</f>
        <v>0</v>
      </c>
      <c r="E65" s="60" t="n">
        <f aca="false">SUMIFS($D$8:$D$19,$C$8:$C$19,$A65,$G$8:$G$19,"90+")+SUMIFS($D$23:$D$61,$C$23:$C$61,$A65,$G$23:$G$61,"90+")</f>
        <v>0</v>
      </c>
      <c r="F65" s="61" t="n">
        <f aca="false">SUM(B65:E65)</f>
        <v>4149.25</v>
      </c>
    </row>
    <row r="66" customFormat="false" ht="15" hidden="false" customHeight="true" outlineLevel="0" collapsed="false">
      <c r="A66" s="34" t="s">
        <v>388</v>
      </c>
      <c r="B66" s="60" t="n">
        <f aca="false">SUMIFS($D$8:$D$19,$C$8:$C$19,$A66,$G$8:$G$19,"0-30")+SUMIFS($D$23:$D$61,$C$23:$C$61,$A66,$G$23:$G$61,"0-30")</f>
        <v>0</v>
      </c>
      <c r="C66" s="60" t="n">
        <f aca="false">SUMIFS($D$8:$D$19,$C$8:$C$19,$A66,$G$8:$G$19,"31-60")+SUMIFS($D$23:$D$61,$C$23:$C$61,$A66,$G$23:$G$61,"31-60")</f>
        <v>4441.12</v>
      </c>
      <c r="D66" s="60" t="n">
        <f aca="false">SUMIFS($D$8:$D$19,$C$8:$C$19,$A66,$G$8:$G$19,"61-90")+SUMIFS($D$23:$D$61,$C$23:$C$61,$A66,$G$23:$G$61,"61-90")</f>
        <v>0</v>
      </c>
      <c r="E66" s="60" t="n">
        <f aca="false">SUMIFS($D$8:$D$19,$C$8:$C$19,$A66,$G$8:$G$19,"90+")+SUMIFS($D$23:$D$61,$C$23:$C$61,$A66,$G$23:$G$61,"90+")</f>
        <v>0</v>
      </c>
      <c r="F66" s="61" t="n">
        <f aca="false">SUM(B66:E66)</f>
        <v>4441.12</v>
      </c>
    </row>
    <row r="67" customFormat="false" ht="15" hidden="false" customHeight="true" outlineLevel="0" collapsed="false">
      <c r="A67" s="34" t="s">
        <v>380</v>
      </c>
      <c r="B67" s="60" t="n">
        <f aca="false">SUMIFS($D$8:$D$19,$C$8:$C$19,$A67,$G$8:$G$19,"0-30")+SUMIFS($D$23:$D$61,$C$23:$C$61,$A67,$G$23:$G$61,"0-30")</f>
        <v>0</v>
      </c>
      <c r="C67" s="60" t="n">
        <f aca="false">SUMIFS($D$8:$D$19,$C$8:$C$19,$A67,$G$8:$G$19,"31-60")+SUMIFS($D$23:$D$61,$C$23:$C$61,$A67,$G$23:$G$61,"31-60")</f>
        <v>0</v>
      </c>
      <c r="D67" s="60" t="n">
        <f aca="false">SUMIFS($D$8:$D$19,$C$8:$C$19,$A67,$G$8:$G$19,"61-90")+SUMIFS($D$23:$D$61,$C$23:$C$61,$A67,$G$23:$G$61,"61-90")</f>
        <v>0</v>
      </c>
      <c r="E67" s="60" t="n">
        <f aca="false">SUMIFS($D$8:$D$19,$C$8:$C$19,$A67,$G$8:$G$19,"90+")+SUMIFS($D$23:$D$61,$C$23:$C$61,$A67,$G$23:$G$61,"90+")</f>
        <v>0</v>
      </c>
      <c r="F67" s="61" t="n">
        <f aca="false">SUM(B67:E67)</f>
        <v>0</v>
      </c>
    </row>
    <row r="68" customFormat="false" ht="15" hidden="false" customHeight="true" outlineLevel="0" collapsed="false">
      <c r="A68" s="34" t="s">
        <v>445</v>
      </c>
      <c r="B68" s="60" t="n">
        <f aca="false">SUMIFS($D$8:$D$19,$C$8:$C$19,$A68,$G$8:$G$19,"0-30")+SUMIFS($D$23:$D$61,$C$23:$C$61,$A68,$G$23:$G$61,"0-30")</f>
        <v>0</v>
      </c>
      <c r="C68" s="60" t="n">
        <f aca="false">SUMIFS($D$8:$D$19,$C$8:$C$19,$A68,$G$8:$G$19,"31-60")+SUMIFS($D$23:$D$61,$C$23:$C$61,$A68,$G$23:$G$61,"31-60")</f>
        <v>0</v>
      </c>
      <c r="D68" s="60" t="n">
        <f aca="false">SUMIFS($D$8:$D$19,$C$8:$C$19,$A68,$G$8:$G$19,"61-90")+SUMIFS($D$23:$D$61,$C$23:$C$61,$A68,$G$23:$G$61,"61-90")</f>
        <v>0</v>
      </c>
      <c r="E68" s="60" t="n">
        <f aca="false">SUMIFS($D$8:$D$19,$C$8:$C$19,$A68,$G$8:$G$19,"90+")+SUMIFS($D$23:$D$61,$C$23:$C$61,$A68,$G$23:$G$61,"90+")</f>
        <v>0</v>
      </c>
      <c r="F68" s="61" t="n">
        <f aca="false">SUM(B68:E68)</f>
        <v>0</v>
      </c>
    </row>
    <row r="69" customFormat="false" ht="15" hidden="false" customHeight="true" outlineLevel="0" collapsed="false">
      <c r="A69" s="34" t="s">
        <v>376</v>
      </c>
      <c r="B69" s="60" t="n">
        <f aca="false">SUMIFS($D$8:$D$19,$C$8:$C$19,$A69,$G$8:$G$19,"0-30")+SUMIFS($D$23:$D$61,$C$23:$C$61,$A69,$G$23:$G$61,"0-30")</f>
        <v>3442.89</v>
      </c>
      <c r="C69" s="60" t="n">
        <f aca="false">SUMIFS($D$8:$D$19,$C$8:$C$19,$A69,$G$8:$G$19,"31-60")+SUMIFS($D$23:$D$61,$C$23:$C$61,$A69,$G$23:$G$61,"31-60")</f>
        <v>0</v>
      </c>
      <c r="D69" s="60" t="n">
        <f aca="false">SUMIFS($D$8:$D$19,$C$8:$C$19,$A69,$G$8:$G$19,"61-90")+SUMIFS($D$23:$D$61,$C$23:$C$61,$A69,$G$23:$G$61,"61-90")</f>
        <v>0</v>
      </c>
      <c r="E69" s="60" t="n">
        <f aca="false">SUMIFS($D$8:$D$19,$C$8:$C$19,$A69,$G$8:$G$19,"90+")+SUMIFS($D$23:$D$61,$C$23:$C$61,$A69,$G$23:$G$61,"90+")</f>
        <v>0</v>
      </c>
      <c r="F69" s="61" t="n">
        <f aca="false">SUM(B69:E69)</f>
        <v>3442.89</v>
      </c>
    </row>
    <row r="70" customFormat="false" ht="15" hidden="false" customHeight="true" outlineLevel="0" collapsed="false">
      <c r="A70" s="34" t="s">
        <v>186</v>
      </c>
      <c r="B70" s="60" t="n">
        <f aca="false">SUMIFS($D$8:$D$19,$C$8:$C$19,$A70,$G$8:$G$19,"0-30")+SUMIFS($D$23:$D$61,$C$23:$C$61,$A70,$G$23:$G$61,"0-30")</f>
        <v>0</v>
      </c>
      <c r="C70" s="60" t="n">
        <f aca="false">SUMIFS($D$8:$D$19,$C$8:$C$19,$A70,$G$8:$G$19,"31-60")+SUMIFS($D$23:$D$61,$C$23:$C$61,$A70,$G$23:$G$61,"31-60")</f>
        <v>0</v>
      </c>
      <c r="D70" s="60" t="n">
        <f aca="false">SUMIFS($D$8:$D$19,$C$8:$C$19,$A70,$G$8:$G$19,"61-90")+SUMIFS($D$23:$D$61,$C$23:$C$61,$A70,$G$23:$G$61,"61-90")</f>
        <v>0</v>
      </c>
      <c r="E70" s="60" t="n">
        <f aca="false">SUMIFS($D$8:$D$19,$C$8:$C$19,$A70,$G$8:$G$19,"90+")+SUMIFS($D$23:$D$61,$C$23:$C$61,$A70,$G$23:$G$61,"90+")</f>
        <v>0</v>
      </c>
      <c r="F70" s="61" t="n">
        <f aca="false">SUM(B70:E70)</f>
        <v>0</v>
      </c>
    </row>
    <row r="71" customFormat="false" ht="15" hidden="false" customHeight="true" outlineLevel="0" collapsed="false">
      <c r="A71" s="34" t="s">
        <v>190</v>
      </c>
      <c r="B71" s="60" t="n">
        <f aca="false">SUMIFS($D$8:$D$19,$C$8:$C$19,$A71,$G$8:$G$19,"0-30")+SUMIFS($D$23:$D$61,$C$23:$C$61,$A71,$G$23:$G$61,"0-30")</f>
        <v>0</v>
      </c>
      <c r="C71" s="60" t="n">
        <f aca="false">SUMIFS($D$8:$D$19,$C$8:$C$19,$A71,$G$8:$G$19,"31-60")+SUMIFS($D$23:$D$61,$C$23:$C$61,$A71,$G$23:$G$61,"31-60")</f>
        <v>0</v>
      </c>
      <c r="D71" s="60" t="n">
        <f aca="false">SUMIFS($D$8:$D$19,$C$8:$C$19,$A71,$G$8:$G$19,"61-90")+SUMIFS($D$23:$D$61,$C$23:$C$61,$A71,$G$23:$G$61,"61-90")</f>
        <v>0</v>
      </c>
      <c r="E71" s="60" t="n">
        <f aca="false">SUMIFS($D$8:$D$19,$C$8:$C$19,$A71,$G$8:$G$19,"90+")+SUMIFS($D$23:$D$61,$C$23:$C$61,$A71,$G$23:$G$61,"90+")</f>
        <v>0</v>
      </c>
      <c r="F71" s="61" t="n">
        <f aca="false">SUM(B71:E71)</f>
        <v>0</v>
      </c>
    </row>
    <row r="72" customFormat="false" ht="15" hidden="false" customHeight="true" outlineLevel="0" collapsed="false">
      <c r="A72" s="34" t="s">
        <v>212</v>
      </c>
      <c r="B72" s="60" t="n">
        <f aca="false">SUMIFS($D$8:$D$19,$C$8:$C$19,$A72,$G$8:$G$19,"0-30")+SUMIFS($D$23:$D$61,$C$23:$C$61,$A72,$G$23:$G$61,"0-30")</f>
        <v>0</v>
      </c>
      <c r="C72" s="60" t="n">
        <f aca="false">SUMIFS($D$8:$D$19,$C$8:$C$19,$A72,$G$8:$G$19,"31-60")+SUMIFS($D$23:$D$61,$C$23:$C$61,$A72,$G$23:$G$61,"31-60")</f>
        <v>0</v>
      </c>
      <c r="D72" s="60" t="n">
        <f aca="false">SUMIFS($D$8:$D$19,$C$8:$C$19,$A72,$G$8:$G$19,"61-90")+SUMIFS($D$23:$D$61,$C$23:$C$61,$A72,$G$23:$G$61,"61-90")</f>
        <v>0</v>
      </c>
      <c r="E72" s="60" t="n">
        <f aca="false">SUMIFS($D$8:$D$19,$C$8:$C$19,$A72,$G$8:$G$19,"90+")+SUMIFS($D$23:$D$61,$C$23:$C$61,$A72,$G$23:$G$61,"90+")</f>
        <v>0</v>
      </c>
      <c r="F72" s="61" t="n">
        <f aca="false">SUM(B72:E72)</f>
        <v>0</v>
      </c>
    </row>
    <row r="73" customFormat="false" ht="15" hidden="false" customHeight="true" outlineLevel="0" collapsed="false">
      <c r="A73" s="34" t="s">
        <v>192</v>
      </c>
      <c r="B73" s="60" t="n">
        <f aca="false">SUMIFS($D$8:$D$19,$C$8:$C$19,$A73,$G$8:$G$19,"0-30")+SUMIFS($D$23:$D$61,$C$23:$C$61,$A73,$G$23:$G$61,"0-30")</f>
        <v>0</v>
      </c>
      <c r="C73" s="60" t="n">
        <f aca="false">SUMIFS($D$8:$D$19,$C$8:$C$19,$A73,$G$8:$G$19,"31-60")+SUMIFS($D$23:$D$61,$C$23:$C$61,$A73,$G$23:$G$61,"31-60")</f>
        <v>0</v>
      </c>
      <c r="D73" s="60" t="n">
        <f aca="false">SUMIFS($D$8:$D$19,$C$8:$C$19,$A73,$G$8:$G$19,"61-90")+SUMIFS($D$23:$D$61,$C$23:$C$61,$A73,$G$23:$G$61,"61-90")</f>
        <v>0</v>
      </c>
      <c r="E73" s="60" t="n">
        <f aca="false">SUMIFS($D$8:$D$19,$C$8:$C$19,$A73,$G$8:$G$19,"90+")+SUMIFS($D$23:$D$61,$C$23:$C$61,$A73,$G$23:$G$61,"90+")</f>
        <v>0</v>
      </c>
      <c r="F73" s="61" t="n">
        <f aca="false">SUM(B73:E73)</f>
        <v>0</v>
      </c>
    </row>
    <row r="74" customFormat="false" ht="15" hidden="false" customHeight="true" outlineLevel="0" collapsed="false">
      <c r="A74" s="34" t="s">
        <v>188</v>
      </c>
      <c r="B74" s="60" t="n">
        <f aca="false">SUMIFS($D$8:$D$19,$C$8:$C$19,$A74,$G$8:$G$19,"0-30")+SUMIFS($D$23:$D$61,$C$23:$C$61,$A74,$G$23:$G$61,"0-30")</f>
        <v>0</v>
      </c>
      <c r="C74" s="60" t="n">
        <f aca="false">SUMIFS($D$8:$D$19,$C$8:$C$19,$A74,$G$8:$G$19,"31-60")+SUMIFS($D$23:$D$61,$C$23:$C$61,$A74,$G$23:$G$61,"31-60")</f>
        <v>0</v>
      </c>
      <c r="D74" s="60" t="n">
        <f aca="false">SUMIFS($D$8:$D$19,$C$8:$C$19,$A74,$G$8:$G$19,"61-90")+SUMIFS($D$23:$D$61,$C$23:$C$61,$A74,$G$23:$G$61,"61-90")</f>
        <v>0</v>
      </c>
      <c r="E74" s="60" t="n">
        <f aca="false">SUMIFS($D$8:$D$19,$C$8:$C$19,$A74,$G$8:$G$19,"90+")+SUMIFS($D$23:$D$61,$C$23:$C$61,$A74,$G$23:$G$61,"90+")</f>
        <v>0</v>
      </c>
      <c r="F74" s="61" t="n">
        <f aca="false">SUM(B74:E74)</f>
        <v>0</v>
      </c>
    </row>
    <row r="75" customFormat="false" ht="15" hidden="false" customHeight="true" outlineLevel="0" collapsed="false">
      <c r="A75" s="34" t="s">
        <v>204</v>
      </c>
      <c r="B75" s="60" t="n">
        <f aca="false">SUMIFS($D$8:$D$19,$C$8:$C$19,$A75,$G$8:$G$19,"0-30")+SUMIFS($D$23:$D$61,$C$23:$C$61,$A75,$G$23:$G$61,"0-30")</f>
        <v>0</v>
      </c>
      <c r="C75" s="60" t="n">
        <f aca="false">SUMIFS($D$8:$D$19,$C$8:$C$19,$A75,$G$8:$G$19,"31-60")+SUMIFS($D$23:$D$61,$C$23:$C$61,$A75,$G$23:$G$61,"31-60")</f>
        <v>0</v>
      </c>
      <c r="D75" s="60" t="n">
        <f aca="false">SUMIFS($D$8:$D$19,$C$8:$C$19,$A75,$G$8:$G$19,"61-90")+SUMIFS($D$23:$D$61,$C$23:$C$61,$A75,$G$23:$G$61,"61-90")</f>
        <v>0</v>
      </c>
      <c r="E75" s="60" t="n">
        <f aca="false">SUMIFS($D$8:$D$19,$C$8:$C$19,$A75,$G$8:$G$19,"90+")+SUMIFS($D$23:$D$61,$C$23:$C$61,$A75,$G$23:$G$61,"90+")</f>
        <v>0</v>
      </c>
      <c r="F75" s="61" t="n">
        <f aca="false">SUM(B75:E75)</f>
        <v>0</v>
      </c>
    </row>
    <row r="76" customFormat="false" ht="15" hidden="false" customHeight="true" outlineLevel="0" collapsed="false">
      <c r="A76" s="62" t="s">
        <v>446</v>
      </c>
      <c r="B76" s="63" t="n">
        <f aca="false">SUM(B65:B75)</f>
        <v>7592.14</v>
      </c>
      <c r="C76" s="63" t="n">
        <f aca="false">SUM(C65:C75)</f>
        <v>4441.12</v>
      </c>
      <c r="D76" s="63" t="n">
        <f aca="false">SUM(D65:D75)</f>
        <v>0</v>
      </c>
      <c r="E76" s="63" t="n">
        <f aca="false">SUM(E65:E75)</f>
        <v>0</v>
      </c>
      <c r="F76" s="63" t="n">
        <f aca="false">SUM(F65:F75)</f>
        <v>12033.26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C7B"/>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2" width="24"/>
    <col collapsed="false" customWidth="true" hidden="false" outlineLevel="0" max="5" min="2" style="22" width="14"/>
  </cols>
  <sheetData>
    <row r="1" customFormat="false" ht="15" hidden="false" customHeight="true" outlineLevel="0" collapsed="false">
      <c r="A1" s="42" t="s">
        <v>447</v>
      </c>
      <c r="B1" s="42"/>
      <c r="C1" s="42"/>
      <c r="D1" s="42"/>
      <c r="E1" s="42"/>
      <c r="F1" s="42"/>
    </row>
    <row r="2" customFormat="false" ht="15" hidden="false" customHeight="true" outlineLevel="0" collapsed="false">
      <c r="A2" s="36" t="s">
        <v>448</v>
      </c>
      <c r="B2" s="36"/>
      <c r="C2" s="36"/>
      <c r="D2" s="36"/>
      <c r="E2" s="36"/>
      <c r="F2" s="36"/>
    </row>
    <row r="4" customFormat="false" ht="15" hidden="false" customHeight="true" outlineLevel="0" collapsed="false">
      <c r="A4" s="55" t="s">
        <v>449</v>
      </c>
    </row>
    <row r="5" customFormat="false" ht="19.5" hidden="false" customHeight="true" outlineLevel="0" collapsed="false">
      <c r="A5" s="56" t="s">
        <v>450</v>
      </c>
      <c r="B5" s="56" t="s">
        <v>279</v>
      </c>
      <c r="C5" s="56" t="s">
        <v>280</v>
      </c>
      <c r="D5" s="56" t="s">
        <v>281</v>
      </c>
      <c r="E5" s="56" t="s">
        <v>451</v>
      </c>
    </row>
    <row r="6" customFormat="false" ht="15" hidden="false" customHeight="true" outlineLevel="0" collapsed="false">
      <c r="A6" s="34" t="s">
        <v>291</v>
      </c>
      <c r="B6" s="64" t="n">
        <f aca="false">SUMIFS(Stripe_Raw!$E$4:$E$45,Stripe_Raw!$J$4:$J$45,$A6,Stripe_Raw!$A$4:$A$45,"&gt;="&amp;DATE(2026,4,1),Stripe_Raw!$A$4:$A$45,"&lt;"&amp;EDATE(DATE(2026,4,1),1),Stripe_Raw!$I$4:$I$45,"Paid")</f>
        <v>48947.56</v>
      </c>
      <c r="C6" s="64" t="n">
        <f aca="false">SUMIFS(Stripe_Raw!$E$4:$E$45,Stripe_Raw!$J$4:$J$45,$A6,Stripe_Raw!$A$4:$A$45,"&gt;="&amp;DATE(2026,5,1),Stripe_Raw!$A$4:$A$45,"&lt;"&amp;EDATE(DATE(2026,5,1),1),Stripe_Raw!$I$4:$I$45,"Paid")</f>
        <v>17858.06</v>
      </c>
      <c r="D6" s="64" t="n">
        <f aca="false">SUMIFS(Stripe_Raw!$E$4:$E$45,Stripe_Raw!$J$4:$J$45,$A6,Stripe_Raw!$A$4:$A$45,"&gt;="&amp;DATE(2026,6,1),Stripe_Raw!$A$4:$A$45,"&lt;"&amp;EDATE(DATE(2026,6,1),1),Stripe_Raw!$I$4:$I$45,"Paid")</f>
        <v>42453.24</v>
      </c>
      <c r="E6" s="61" t="n">
        <f aca="false">SUM(B6:D6)</f>
        <v>109258.86</v>
      </c>
    </row>
    <row r="7" customFormat="false" ht="15" hidden="false" customHeight="true" outlineLevel="0" collapsed="false">
      <c r="A7" s="34" t="s">
        <v>294</v>
      </c>
      <c r="B7" s="64" t="n">
        <f aca="false">SUMIFS(Stripe_Raw!$E$4:$E$45,Stripe_Raw!$J$4:$J$45,$A7,Stripe_Raw!$A$4:$A$45,"&gt;="&amp;DATE(2026,4,1),Stripe_Raw!$A$4:$A$45,"&lt;"&amp;EDATE(DATE(2026,4,1),1),Stripe_Raw!$I$4:$I$45,"Paid")</f>
        <v>20453.21</v>
      </c>
      <c r="C7" s="64" t="n">
        <f aca="false">SUMIFS(Stripe_Raw!$E$4:$E$45,Stripe_Raw!$J$4:$J$45,$A7,Stripe_Raw!$A$4:$A$45,"&gt;="&amp;DATE(2026,5,1),Stripe_Raw!$A$4:$A$45,"&lt;"&amp;EDATE(DATE(2026,5,1),1),Stripe_Raw!$I$4:$I$45,"Paid")</f>
        <v>54102.76</v>
      </c>
      <c r="D7" s="64" t="n">
        <f aca="false">SUMIFS(Stripe_Raw!$E$4:$E$45,Stripe_Raw!$J$4:$J$45,$A7,Stripe_Raw!$A$4:$A$45,"&gt;="&amp;DATE(2026,6,1),Stripe_Raw!$A$4:$A$45,"&lt;"&amp;EDATE(DATE(2026,6,1),1),Stripe_Raw!$I$4:$I$45,"Paid")</f>
        <v>48549.79</v>
      </c>
      <c r="E7" s="61" t="n">
        <f aca="false">SUM(B7:D7)</f>
        <v>123105.76</v>
      </c>
    </row>
    <row r="8" customFormat="false" ht="15" hidden="false" customHeight="true" outlineLevel="0" collapsed="false">
      <c r="A8" s="34" t="s">
        <v>296</v>
      </c>
      <c r="B8" s="64" t="n">
        <f aca="false">SUMIFS(Stripe_Raw!$E$4:$E$45,Stripe_Raw!$J$4:$J$45,$A8,Stripe_Raw!$A$4:$A$45,"&gt;="&amp;DATE(2026,4,1),Stripe_Raw!$A$4:$A$45,"&lt;"&amp;EDATE(DATE(2026,4,1),1),Stripe_Raw!$I$4:$I$45,"Paid")</f>
        <v>23058.05</v>
      </c>
      <c r="C8" s="64" t="n">
        <f aca="false">SUMIFS(Stripe_Raw!$E$4:$E$45,Stripe_Raw!$J$4:$J$45,$A8,Stripe_Raw!$A$4:$A$45,"&gt;="&amp;DATE(2026,5,1),Stripe_Raw!$A$4:$A$45,"&lt;"&amp;EDATE(DATE(2026,5,1),1),Stripe_Raw!$I$4:$I$45,"Paid")</f>
        <v>50789.3</v>
      </c>
      <c r="D8" s="64" t="n">
        <f aca="false">SUMIFS(Stripe_Raw!$E$4:$E$45,Stripe_Raw!$J$4:$J$45,$A8,Stripe_Raw!$A$4:$A$45,"&gt;="&amp;DATE(2026,6,1),Stripe_Raw!$A$4:$A$45,"&lt;"&amp;EDATE(DATE(2026,6,1),1),Stripe_Raw!$I$4:$I$45,"Paid")</f>
        <v>35202.12</v>
      </c>
      <c r="E8" s="61" t="n">
        <f aca="false">SUM(B8:D8)</f>
        <v>109049.47</v>
      </c>
    </row>
    <row r="9" customFormat="false" ht="15" hidden="false" customHeight="true" outlineLevel="0" collapsed="false">
      <c r="A9" s="34" t="s">
        <v>452</v>
      </c>
      <c r="B9" s="64" t="n">
        <f aca="false">SUMIFS(Stripe_Raw!$E$4:$E$45,Stripe_Raw!$J$4:$J$45,$A9,Stripe_Raw!$A$4:$A$45,"&gt;="&amp;DATE(2026,4,1),Stripe_Raw!$A$4:$A$45,"&lt;"&amp;EDATE(DATE(2026,4,1),1),Stripe_Raw!$I$4:$I$45,"Paid")</f>
        <v>0</v>
      </c>
      <c r="C9" s="64" t="n">
        <f aca="false">SUMIFS(Stripe_Raw!$E$4:$E$45,Stripe_Raw!$J$4:$J$45,$A9,Stripe_Raw!$A$4:$A$45,"&gt;="&amp;DATE(2026,5,1),Stripe_Raw!$A$4:$A$45,"&lt;"&amp;EDATE(DATE(2026,5,1),1),Stripe_Raw!$I$4:$I$45,"Paid")</f>
        <v>0</v>
      </c>
      <c r="D9" s="64" t="n">
        <f aca="false">SUMIFS(Stripe_Raw!$E$4:$E$45,Stripe_Raw!$J$4:$J$45,$A9,Stripe_Raw!$A$4:$A$45,"&gt;="&amp;DATE(2026,6,1),Stripe_Raw!$A$4:$A$45,"&lt;"&amp;EDATE(DATE(2026,6,1),1),Stripe_Raw!$I$4:$I$45,"Paid")</f>
        <v>0</v>
      </c>
      <c r="E9" s="61" t="n">
        <f aca="false">SUM(B9:D9)</f>
        <v>0</v>
      </c>
    </row>
    <row r="10" customFormat="false" ht="15" hidden="false" customHeight="true" outlineLevel="0" collapsed="false">
      <c r="A10" s="62" t="s">
        <v>453</v>
      </c>
      <c r="B10" s="63" t="n">
        <f aca="false">SUM(B6:B9)</f>
        <v>92458.82</v>
      </c>
      <c r="C10" s="63" t="n">
        <f aca="false">SUM(C6:C9)</f>
        <v>122750.12</v>
      </c>
      <c r="D10" s="63" t="n">
        <f aca="false">SUM(D6:D9)</f>
        <v>126205.15</v>
      </c>
      <c r="E10" s="63" t="n">
        <f aca="false">SUM(E6:E9)</f>
        <v>341414.09</v>
      </c>
    </row>
    <row r="12" customFormat="false" ht="15" hidden="false" customHeight="true" outlineLevel="0" collapsed="false">
      <c r="A12" s="55" t="s">
        <v>454</v>
      </c>
    </row>
    <row r="13" customFormat="false" ht="19.5" hidden="false" customHeight="true" outlineLevel="0" collapsed="false">
      <c r="A13" s="56" t="s">
        <v>450</v>
      </c>
      <c r="B13" s="56" t="s">
        <v>279</v>
      </c>
      <c r="C13" s="56" t="s">
        <v>280</v>
      </c>
      <c r="D13" s="56" t="s">
        <v>281</v>
      </c>
      <c r="E13" s="56" t="s">
        <v>451</v>
      </c>
    </row>
    <row r="14" customFormat="false" ht="15" hidden="false" customHeight="true" outlineLevel="0" collapsed="false">
      <c r="A14" s="34" t="s">
        <v>291</v>
      </c>
      <c r="B14" s="64" t="n">
        <f aca="false">SUMIFS(Xero_Raw!$H$4:$H$42,Xero_Raw!$J$4:$J$42,$A14,Xero_Raw!$C$4:$C$42,"Invoice",Xero_Raw!$A$4:$A$42,"&gt;="&amp;DATE(2026,4,1),Xero_Raw!$A$4:$A$42,"&lt;"&amp;EDATE(DATE(2026,4,1),1))</f>
        <v>59160.63</v>
      </c>
      <c r="C14" s="64" t="n">
        <f aca="false">SUMIFS(Xero_Raw!$H$4:$H$42,Xero_Raw!$J$4:$J$42,$A14,Xero_Raw!$C$4:$C$42,"Invoice",Xero_Raw!$A$4:$A$42,"&gt;="&amp;DATE(2026,5,1),Xero_Raw!$A$4:$A$42,"&lt;"&amp;EDATE(DATE(2026,5,1),1))</f>
        <v>70672.56</v>
      </c>
      <c r="D14" s="64" t="n">
        <f aca="false">SUMIFS(Xero_Raw!$H$4:$H$42,Xero_Raw!$J$4:$J$42,$A14,Xero_Raw!$C$4:$C$42,"Invoice",Xero_Raw!$A$4:$A$42,"&gt;="&amp;DATE(2026,6,1),Xero_Raw!$A$4:$A$42,"&lt;"&amp;EDATE(DATE(2026,6,1),1))</f>
        <v>83715.1</v>
      </c>
      <c r="E14" s="61" t="n">
        <f aca="false">SUM(B14:D14)</f>
        <v>213548.29</v>
      </c>
    </row>
    <row r="15" customFormat="false" ht="15" hidden="false" customHeight="true" outlineLevel="0" collapsed="false">
      <c r="A15" s="34" t="s">
        <v>294</v>
      </c>
      <c r="B15" s="64" t="n">
        <f aca="false">SUMIFS(Xero_Raw!$H$4:$H$42,Xero_Raw!$J$4:$J$42,$A15,Xero_Raw!$C$4:$C$42,"Invoice",Xero_Raw!$A$4:$A$42,"&gt;="&amp;DATE(2026,4,1),Xero_Raw!$A$4:$A$42,"&lt;"&amp;EDATE(DATE(2026,4,1),1))</f>
        <v>83923.58</v>
      </c>
      <c r="C15" s="64" t="n">
        <f aca="false">SUMIFS(Xero_Raw!$H$4:$H$42,Xero_Raw!$J$4:$J$42,$A15,Xero_Raw!$C$4:$C$42,"Invoice",Xero_Raw!$A$4:$A$42,"&gt;="&amp;DATE(2026,5,1),Xero_Raw!$A$4:$A$42,"&lt;"&amp;EDATE(DATE(2026,5,1),1))</f>
        <v>42402.31</v>
      </c>
      <c r="D15" s="64" t="n">
        <f aca="false">SUMIFS(Xero_Raw!$H$4:$H$42,Xero_Raw!$J$4:$J$42,$A15,Xero_Raw!$C$4:$C$42,"Invoice",Xero_Raw!$A$4:$A$42,"&gt;="&amp;DATE(2026,6,1),Xero_Raw!$A$4:$A$42,"&lt;"&amp;EDATE(DATE(2026,6,1),1))</f>
        <v>41874.83</v>
      </c>
      <c r="E15" s="61" t="n">
        <f aca="false">SUM(B15:D15)</f>
        <v>168200.72</v>
      </c>
    </row>
    <row r="16" customFormat="false" ht="15" hidden="false" customHeight="true" outlineLevel="0" collapsed="false">
      <c r="A16" s="34" t="s">
        <v>296</v>
      </c>
      <c r="B16" s="64" t="n">
        <f aca="false">SUMIFS(Xero_Raw!$H$4:$H$42,Xero_Raw!$J$4:$J$42,$A16,Xero_Raw!$C$4:$C$42,"Invoice",Xero_Raw!$A$4:$A$42,"&gt;="&amp;DATE(2026,4,1),Xero_Raw!$A$4:$A$42,"&lt;"&amp;EDATE(DATE(2026,4,1),1))</f>
        <v>21609.38</v>
      </c>
      <c r="C16" s="64" t="n">
        <f aca="false">SUMIFS(Xero_Raw!$H$4:$H$42,Xero_Raw!$J$4:$J$42,$A16,Xero_Raw!$C$4:$C$42,"Invoice",Xero_Raw!$A$4:$A$42,"&gt;="&amp;DATE(2026,5,1),Xero_Raw!$A$4:$A$42,"&lt;"&amp;EDATE(DATE(2026,5,1),1))</f>
        <v>47679.08</v>
      </c>
      <c r="D16" s="64" t="n">
        <f aca="false">SUMIFS(Xero_Raw!$H$4:$H$42,Xero_Raw!$J$4:$J$42,$A16,Xero_Raw!$C$4:$C$42,"Invoice",Xero_Raw!$A$4:$A$42,"&gt;="&amp;DATE(2026,6,1),Xero_Raw!$A$4:$A$42,"&lt;"&amp;EDATE(DATE(2026,6,1),1))</f>
        <v>96009.58</v>
      </c>
      <c r="E16" s="61" t="n">
        <f aca="false">SUM(B16:D16)</f>
        <v>165298.04</v>
      </c>
    </row>
    <row r="17" customFormat="false" ht="15" hidden="false" customHeight="true" outlineLevel="0" collapsed="false">
      <c r="A17" s="34" t="s">
        <v>452</v>
      </c>
      <c r="B17" s="64" t="n">
        <f aca="false">SUMIFS(Xero_Raw!$H$4:$H$42,Xero_Raw!$J$4:$J$42,$A17,Xero_Raw!$C$4:$C$42,"Invoice",Xero_Raw!$A$4:$A$42,"&gt;="&amp;DATE(2026,4,1),Xero_Raw!$A$4:$A$42,"&lt;"&amp;EDATE(DATE(2026,4,1),1))</f>
        <v>0</v>
      </c>
      <c r="C17" s="64" t="n">
        <f aca="false">SUMIFS(Xero_Raw!$H$4:$H$42,Xero_Raw!$J$4:$J$42,$A17,Xero_Raw!$C$4:$C$42,"Invoice",Xero_Raw!$A$4:$A$42,"&gt;="&amp;DATE(2026,5,1),Xero_Raw!$A$4:$A$42,"&lt;"&amp;EDATE(DATE(2026,5,1),1))</f>
        <v>0</v>
      </c>
      <c r="D17" s="64" t="n">
        <f aca="false">SUMIFS(Xero_Raw!$H$4:$H$42,Xero_Raw!$J$4:$J$42,$A17,Xero_Raw!$C$4:$C$42,"Invoice",Xero_Raw!$A$4:$A$42,"&gt;="&amp;DATE(2026,6,1),Xero_Raw!$A$4:$A$42,"&lt;"&amp;EDATE(DATE(2026,6,1),1))</f>
        <v>0</v>
      </c>
      <c r="E17" s="61" t="n">
        <f aca="false">SUM(B17:D17)</f>
        <v>0</v>
      </c>
    </row>
    <row r="18" customFormat="false" ht="15" hidden="false" customHeight="true" outlineLevel="0" collapsed="false">
      <c r="A18" s="62" t="s">
        <v>455</v>
      </c>
      <c r="B18" s="63" t="n">
        <f aca="false">SUM(B14:B17)</f>
        <v>164693.59</v>
      </c>
      <c r="C18" s="63" t="n">
        <f aca="false">SUM(C14:C17)</f>
        <v>160753.95</v>
      </c>
      <c r="D18" s="63" t="n">
        <f aca="false">SUM(D14:D17)</f>
        <v>221599.51</v>
      </c>
      <c r="E18" s="63" t="n">
        <f aca="false">SUM(E14:E17)</f>
        <v>547047.05</v>
      </c>
    </row>
    <row r="20" customFormat="false" ht="15" hidden="false" customHeight="true" outlineLevel="0" collapsed="false">
      <c r="A20" s="55" t="s">
        <v>456</v>
      </c>
    </row>
    <row r="21" customFormat="false" ht="19.5" hidden="false" customHeight="true" outlineLevel="0" collapsed="false">
      <c r="A21" s="65" t="s">
        <v>450</v>
      </c>
      <c r="B21" s="65" t="s">
        <v>279</v>
      </c>
      <c r="C21" s="65" t="s">
        <v>280</v>
      </c>
      <c r="D21" s="65" t="s">
        <v>281</v>
      </c>
      <c r="E21" s="65" t="s">
        <v>451</v>
      </c>
    </row>
    <row r="22" customFormat="false" ht="15" hidden="false" customHeight="true" outlineLevel="0" collapsed="false">
      <c r="A22" s="34" t="s">
        <v>291</v>
      </c>
      <c r="B22" s="64" t="n">
        <f aca="false">SUMIFS(Customer_Invoices_Upload!$H$4:$H$18,Customer_Invoices_Upload!$J$4:$J$18,$A22,Customer_Invoices_Upload!$B$4:$B$18,"&gt;="&amp;DATE(2026,4,1),Customer_Invoices_Upload!$B$4:$B$18,"&lt;"&amp;EDATE(DATE(2026,4,1),1))</f>
        <v>34761.98</v>
      </c>
      <c r="C22" s="64" t="n">
        <f aca="false">SUMIFS(Customer_Invoices_Upload!$H$4:$H$18,Customer_Invoices_Upload!$J$4:$J$18,$A22,Customer_Invoices_Upload!$B$4:$B$18,"&gt;="&amp;DATE(2026,5,1),Customer_Invoices_Upload!$B$4:$B$18,"&lt;"&amp;EDATE(DATE(2026,5,1),1))</f>
        <v>11937.43</v>
      </c>
      <c r="D22" s="64" t="n">
        <f aca="false">SUMIFS(Customer_Invoices_Upload!$H$4:$H$18,Customer_Invoices_Upload!$J$4:$J$18,$A22,Customer_Invoices_Upload!$B$4:$B$18,"&gt;="&amp;DATE(2026,6,1),Customer_Invoices_Upload!$B$4:$B$18,"&lt;"&amp;EDATE(DATE(2026,6,1),1))</f>
        <v>2303.99</v>
      </c>
      <c r="E22" s="61" t="n">
        <f aca="false">SUM(B22:D22)</f>
        <v>49003.4</v>
      </c>
    </row>
    <row r="23" customFormat="false" ht="15" hidden="false" customHeight="true" outlineLevel="0" collapsed="false">
      <c r="A23" s="34" t="s">
        <v>294</v>
      </c>
      <c r="B23" s="64" t="n">
        <f aca="false">SUMIFS(Customer_Invoices_Upload!$H$4:$H$18,Customer_Invoices_Upload!$J$4:$J$18,$A23,Customer_Invoices_Upload!$B$4:$B$18,"&gt;="&amp;DATE(2026,4,1),Customer_Invoices_Upload!$B$4:$B$18,"&lt;"&amp;EDATE(DATE(2026,4,1),1))</f>
        <v>1679.78</v>
      </c>
      <c r="C23" s="64" t="n">
        <f aca="false">SUMIFS(Customer_Invoices_Upload!$H$4:$H$18,Customer_Invoices_Upload!$J$4:$J$18,$A23,Customer_Invoices_Upload!$B$4:$B$18,"&gt;="&amp;DATE(2026,5,1),Customer_Invoices_Upload!$B$4:$B$18,"&lt;"&amp;EDATE(DATE(2026,5,1),1))</f>
        <v>13175.39</v>
      </c>
      <c r="D23" s="64" t="n">
        <f aca="false">SUMIFS(Customer_Invoices_Upload!$H$4:$H$18,Customer_Invoices_Upload!$J$4:$J$18,$A23,Customer_Invoices_Upload!$B$4:$B$18,"&gt;="&amp;DATE(2026,6,1),Customer_Invoices_Upload!$B$4:$B$18,"&lt;"&amp;EDATE(DATE(2026,6,1),1))</f>
        <v>21404.62</v>
      </c>
      <c r="E23" s="61" t="n">
        <f aca="false">SUM(B23:D23)</f>
        <v>36259.79</v>
      </c>
    </row>
    <row r="24" customFormat="false" ht="15" hidden="false" customHeight="true" outlineLevel="0" collapsed="false">
      <c r="A24" s="34" t="s">
        <v>296</v>
      </c>
      <c r="B24" s="64" t="n">
        <f aca="false">SUMIFS(Customer_Invoices_Upload!$H$4:$H$18,Customer_Invoices_Upload!$J$4:$J$18,$A24,Customer_Invoices_Upload!$B$4:$B$18,"&gt;="&amp;DATE(2026,4,1),Customer_Invoices_Upload!$B$4:$B$18,"&lt;"&amp;EDATE(DATE(2026,4,1),1))</f>
        <v>0</v>
      </c>
      <c r="C24" s="64" t="n">
        <f aca="false">SUMIFS(Customer_Invoices_Upload!$H$4:$H$18,Customer_Invoices_Upload!$J$4:$J$18,$A24,Customer_Invoices_Upload!$B$4:$B$18,"&gt;="&amp;DATE(2026,5,1),Customer_Invoices_Upload!$B$4:$B$18,"&lt;"&amp;EDATE(DATE(2026,5,1),1))</f>
        <v>39206.32</v>
      </c>
      <c r="D24" s="64" t="n">
        <f aca="false">SUMIFS(Customer_Invoices_Upload!$H$4:$H$18,Customer_Invoices_Upload!$J$4:$J$18,$A24,Customer_Invoices_Upload!$B$4:$B$18,"&gt;="&amp;DATE(2026,6,1),Customer_Invoices_Upload!$B$4:$B$18,"&lt;"&amp;EDATE(DATE(2026,6,1),1))</f>
        <v>48039.62</v>
      </c>
      <c r="E24" s="61" t="n">
        <f aca="false">SUM(B24:D24)</f>
        <v>87245.94</v>
      </c>
    </row>
    <row r="25" customFormat="false" ht="15" hidden="false" customHeight="true" outlineLevel="0" collapsed="false">
      <c r="A25" s="34" t="s">
        <v>452</v>
      </c>
      <c r="B25" s="64" t="n">
        <f aca="false">SUMIFS(Customer_Invoices_Upload!$H$4:$H$18,Customer_Invoices_Upload!$J$4:$J$18,$A25,Customer_Invoices_Upload!$B$4:$B$18,"&gt;="&amp;DATE(2026,4,1),Customer_Invoices_Upload!$B$4:$B$18,"&lt;"&amp;EDATE(DATE(2026,4,1),1))</f>
        <v>0</v>
      </c>
      <c r="C25" s="64" t="n">
        <f aca="false">SUMIFS(Customer_Invoices_Upload!$H$4:$H$18,Customer_Invoices_Upload!$J$4:$J$18,$A25,Customer_Invoices_Upload!$B$4:$B$18,"&gt;="&amp;DATE(2026,5,1),Customer_Invoices_Upload!$B$4:$B$18,"&lt;"&amp;EDATE(DATE(2026,5,1),1))</f>
        <v>0</v>
      </c>
      <c r="D25" s="64" t="n">
        <f aca="false">SUMIFS(Customer_Invoices_Upload!$H$4:$H$18,Customer_Invoices_Upload!$J$4:$J$18,$A25,Customer_Invoices_Upload!$B$4:$B$18,"&gt;="&amp;DATE(2026,6,1),Customer_Invoices_Upload!$B$4:$B$18,"&lt;"&amp;EDATE(DATE(2026,6,1),1))</f>
        <v>0</v>
      </c>
      <c r="E25" s="61" t="n">
        <f aca="false">SUM(B25:D25)</f>
        <v>0</v>
      </c>
    </row>
    <row r="26" customFormat="false" ht="15" hidden="false" customHeight="true" outlineLevel="0" collapsed="false">
      <c r="A26" s="62" t="s">
        <v>457</v>
      </c>
      <c r="B26" s="63" t="n">
        <f aca="false">SUM(B22:B25)</f>
        <v>36441.76</v>
      </c>
      <c r="C26" s="63" t="n">
        <f aca="false">SUM(C22:C25)</f>
        <v>64319.14</v>
      </c>
      <c r="D26" s="63" t="n">
        <f aca="false">SUM(D22:D25)</f>
        <v>71748.23</v>
      </c>
      <c r="E26" s="63" t="n">
        <f aca="false">SUM(E22:E25)</f>
        <v>172509.13</v>
      </c>
    </row>
    <row r="28" customFormat="false" ht="15" hidden="false" customHeight="true" outlineLevel="0" collapsed="false">
      <c r="A28" s="55" t="s">
        <v>458</v>
      </c>
    </row>
    <row r="29" customFormat="false" ht="19.5" hidden="false" customHeight="true" outlineLevel="0" collapsed="false">
      <c r="A29" s="56" t="s">
        <v>450</v>
      </c>
      <c r="B29" s="56" t="s">
        <v>459</v>
      </c>
      <c r="C29" s="56" t="s">
        <v>460</v>
      </c>
    </row>
    <row r="30" customFormat="false" ht="15" hidden="false" customHeight="true" outlineLevel="0" collapsed="false">
      <c r="A30" s="34" t="s">
        <v>291</v>
      </c>
      <c r="B30" s="61" t="n">
        <f aca="false">E6+E14+E22</f>
        <v>371810.55</v>
      </c>
      <c r="C30" s="66" t="n">
        <f aca="false">IFERROR(B30/B$34,0)</f>
        <v>0.350443891326003</v>
      </c>
    </row>
    <row r="31" customFormat="false" ht="15" hidden="false" customHeight="true" outlineLevel="0" collapsed="false">
      <c r="A31" s="34" t="s">
        <v>294</v>
      </c>
      <c r="B31" s="61" t="n">
        <f aca="false">E7+E15+E23</f>
        <v>327566.27</v>
      </c>
      <c r="C31" s="66" t="n">
        <f aca="false">IFERROR(B31/B$34,0)</f>
        <v>0.308742176159187</v>
      </c>
    </row>
    <row r="32" customFormat="false" ht="15" hidden="false" customHeight="true" outlineLevel="0" collapsed="false">
      <c r="A32" s="34" t="s">
        <v>296</v>
      </c>
      <c r="B32" s="61" t="n">
        <f aca="false">E8+E16+E24</f>
        <v>361593.45</v>
      </c>
      <c r="C32" s="66" t="n">
        <f aca="false">IFERROR(B32/B$34,0)</f>
        <v>0.34081393251481</v>
      </c>
    </row>
    <row r="33" customFormat="false" ht="15" hidden="false" customHeight="true" outlineLevel="0" collapsed="false">
      <c r="A33" s="34" t="s">
        <v>452</v>
      </c>
      <c r="B33" s="61" t="n">
        <f aca="false">E9+E17+E25</f>
        <v>0</v>
      </c>
      <c r="C33" s="66" t="n">
        <f aca="false">IFERROR(B33/B$34,0)</f>
        <v>0</v>
      </c>
    </row>
    <row r="34" customFormat="false" ht="15" hidden="false" customHeight="true" outlineLevel="0" collapsed="false">
      <c r="A34" s="49" t="s">
        <v>461</v>
      </c>
      <c r="B34" s="61" t="n">
        <f aca="false">SUM(B30:B33)</f>
        <v>1060970.27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2" width="40"/>
    <col collapsed="false" customWidth="true" hidden="false" outlineLevel="0" max="5" min="2" style="22" width="14"/>
  </cols>
  <sheetData>
    <row r="1" customFormat="false" ht="15" hidden="false" customHeight="true" outlineLevel="0" collapsed="false">
      <c r="A1" s="42" t="s">
        <v>462</v>
      </c>
      <c r="B1" s="42"/>
      <c r="C1" s="42"/>
      <c r="D1" s="42"/>
      <c r="E1" s="42"/>
      <c r="F1" s="42"/>
    </row>
    <row r="2" customFormat="false" ht="15" hidden="false" customHeight="true" outlineLevel="0" collapsed="false">
      <c r="A2" s="36" t="s">
        <v>463</v>
      </c>
      <c r="B2" s="36"/>
      <c r="C2" s="36"/>
      <c r="D2" s="36"/>
      <c r="E2" s="36"/>
      <c r="F2" s="36"/>
    </row>
    <row r="4" customFormat="false" ht="15" hidden="false" customHeight="true" outlineLevel="0" collapsed="false">
      <c r="A4" s="55" t="s">
        <v>464</v>
      </c>
    </row>
    <row r="5" customFormat="false" ht="19.5" hidden="false" customHeight="true" outlineLevel="0" collapsed="false">
      <c r="A5" s="56" t="s">
        <v>465</v>
      </c>
      <c r="B5" s="56" t="s">
        <v>279</v>
      </c>
      <c r="C5" s="56" t="s">
        <v>280</v>
      </c>
      <c r="D5" s="56" t="s">
        <v>281</v>
      </c>
      <c r="E5" s="56" t="s">
        <v>451</v>
      </c>
    </row>
    <row r="6" customFormat="false" ht="15" hidden="false" customHeight="true" outlineLevel="0" collapsed="false">
      <c r="A6" s="34" t="s">
        <v>186</v>
      </c>
      <c r="B6" s="64" t="n">
        <f aca="false">SUMIFS(Xero_Raw!$H$4:$H$42,Xero_Raw!$D$4:$D$42,$A6,Xero_Raw!$C$4:$C$42,"Bill",Xero_Raw!$A$4:$A$42,"&gt;="&amp;DATE(2026,4,1),Xero_Raw!$A$4:$A$42,"&lt;"&amp;EDATE(DATE(2026,4,1),1))</f>
        <v>20296.54</v>
      </c>
      <c r="C6" s="64" t="n">
        <f aca="false">SUMIFS(Xero_Raw!$H$4:$H$42,Xero_Raw!$D$4:$D$42,$A6,Xero_Raw!$C$4:$C$42,"Bill",Xero_Raw!$A$4:$A$42,"&gt;="&amp;DATE(2026,5,1),Xero_Raw!$A$4:$A$42,"&lt;"&amp;EDATE(DATE(2026,5,1),1))</f>
        <v>0</v>
      </c>
      <c r="D6" s="64" t="n">
        <f aca="false">SUMIFS(Xero_Raw!$H$4:$H$42,Xero_Raw!$D$4:$D$42,$A6,Xero_Raw!$C$4:$C$42,"Bill",Xero_Raw!$A$4:$A$42,"&gt;="&amp;DATE(2026,6,1),Xero_Raw!$A$4:$A$42,"&lt;"&amp;EDATE(DATE(2026,6,1),1))</f>
        <v>16039.97</v>
      </c>
      <c r="E6" s="61" t="n">
        <f aca="false">SUM(B6:D6)</f>
        <v>36336.51</v>
      </c>
    </row>
    <row r="7" customFormat="false" ht="15" hidden="false" customHeight="true" outlineLevel="0" collapsed="false">
      <c r="A7" s="34" t="s">
        <v>190</v>
      </c>
      <c r="B7" s="64" t="n">
        <f aca="false">SUMIFS(Xero_Raw!$H$4:$H$42,Xero_Raw!$D$4:$D$42,$A7,Xero_Raw!$C$4:$C$42,"Bill",Xero_Raw!$A$4:$A$42,"&gt;="&amp;DATE(2026,4,1),Xero_Raw!$A$4:$A$42,"&lt;"&amp;EDATE(DATE(2026,4,1),1))</f>
        <v>10457.14</v>
      </c>
      <c r="C7" s="64" t="n">
        <f aca="false">SUMIFS(Xero_Raw!$H$4:$H$42,Xero_Raw!$D$4:$D$42,$A7,Xero_Raw!$C$4:$C$42,"Bill",Xero_Raw!$A$4:$A$42,"&gt;="&amp;DATE(2026,5,1),Xero_Raw!$A$4:$A$42,"&lt;"&amp;EDATE(DATE(2026,5,1),1))</f>
        <v>28243.45</v>
      </c>
      <c r="D7" s="64" t="n">
        <f aca="false">SUMIFS(Xero_Raw!$H$4:$H$42,Xero_Raw!$D$4:$D$42,$A7,Xero_Raw!$C$4:$C$42,"Bill",Xero_Raw!$A$4:$A$42,"&gt;="&amp;DATE(2026,6,1),Xero_Raw!$A$4:$A$42,"&lt;"&amp;EDATE(DATE(2026,6,1),1))</f>
        <v>35830.02</v>
      </c>
      <c r="E7" s="61" t="n">
        <f aca="false">SUM(B7:D7)</f>
        <v>74530.61</v>
      </c>
    </row>
    <row r="8" customFormat="false" ht="15" hidden="false" customHeight="true" outlineLevel="0" collapsed="false">
      <c r="A8" s="34" t="s">
        <v>212</v>
      </c>
      <c r="B8" s="64" t="n">
        <f aca="false">SUMIFS(Xero_Raw!$H$4:$H$42,Xero_Raw!$D$4:$D$42,$A8,Xero_Raw!$C$4:$C$42,"Bill",Xero_Raw!$A$4:$A$42,"&gt;="&amp;DATE(2026,4,1),Xero_Raw!$A$4:$A$42,"&lt;"&amp;EDATE(DATE(2026,4,1),1))</f>
        <v>0</v>
      </c>
      <c r="C8" s="64" t="n">
        <f aca="false">SUMIFS(Xero_Raw!$H$4:$H$42,Xero_Raw!$D$4:$D$42,$A8,Xero_Raw!$C$4:$C$42,"Bill",Xero_Raw!$A$4:$A$42,"&gt;="&amp;DATE(2026,5,1),Xero_Raw!$A$4:$A$42,"&lt;"&amp;EDATE(DATE(2026,5,1),1))</f>
        <v>0</v>
      </c>
      <c r="D8" s="64" t="n">
        <f aca="false">SUMIFS(Xero_Raw!$H$4:$H$42,Xero_Raw!$D$4:$D$42,$A8,Xero_Raw!$C$4:$C$42,"Bill",Xero_Raw!$A$4:$A$42,"&gt;="&amp;DATE(2026,6,1),Xero_Raw!$A$4:$A$42,"&lt;"&amp;EDATE(DATE(2026,6,1),1))</f>
        <v>586.87</v>
      </c>
      <c r="E8" s="61" t="n">
        <f aca="false">SUM(B8:D8)</f>
        <v>586.87</v>
      </c>
    </row>
    <row r="9" customFormat="false" ht="15" hidden="false" customHeight="true" outlineLevel="0" collapsed="false">
      <c r="A9" s="34" t="s">
        <v>192</v>
      </c>
      <c r="B9" s="64" t="n">
        <f aca="false">SUMIFS(Xero_Raw!$H$4:$H$42,Xero_Raw!$D$4:$D$42,$A9,Xero_Raw!$C$4:$C$42,"Bill",Xero_Raw!$A$4:$A$42,"&gt;="&amp;DATE(2026,4,1),Xero_Raw!$A$4:$A$42,"&lt;"&amp;EDATE(DATE(2026,4,1),1))</f>
        <v>21683.93</v>
      </c>
      <c r="C9" s="64" t="n">
        <f aca="false">SUMIFS(Xero_Raw!$H$4:$H$42,Xero_Raw!$D$4:$D$42,$A9,Xero_Raw!$C$4:$C$42,"Bill",Xero_Raw!$A$4:$A$42,"&gt;="&amp;DATE(2026,5,1),Xero_Raw!$A$4:$A$42,"&lt;"&amp;EDATE(DATE(2026,5,1),1))</f>
        <v>14799.97</v>
      </c>
      <c r="D9" s="64" t="n">
        <f aca="false">SUMIFS(Xero_Raw!$H$4:$H$42,Xero_Raw!$D$4:$D$42,$A9,Xero_Raw!$C$4:$C$42,"Bill",Xero_Raw!$A$4:$A$42,"&gt;="&amp;DATE(2026,6,1),Xero_Raw!$A$4:$A$42,"&lt;"&amp;EDATE(DATE(2026,6,1),1))</f>
        <v>0</v>
      </c>
      <c r="E9" s="61" t="n">
        <f aca="false">SUM(B9:D9)</f>
        <v>36483.9</v>
      </c>
    </row>
    <row r="10" customFormat="false" ht="15" hidden="false" customHeight="true" outlineLevel="0" collapsed="false">
      <c r="A10" s="34" t="s">
        <v>188</v>
      </c>
      <c r="B10" s="64" t="n">
        <f aca="false">SUMIFS(Xero_Raw!$H$4:$H$42,Xero_Raw!$D$4:$D$42,$A10,Xero_Raw!$C$4:$C$42,"Bill",Xero_Raw!$A$4:$A$42,"&gt;="&amp;DATE(2026,4,1),Xero_Raw!$A$4:$A$42,"&lt;"&amp;EDATE(DATE(2026,4,1),1))</f>
        <v>25979.82</v>
      </c>
      <c r="C10" s="64" t="n">
        <f aca="false">SUMIFS(Xero_Raw!$H$4:$H$42,Xero_Raw!$D$4:$D$42,$A10,Xero_Raw!$C$4:$C$42,"Bill",Xero_Raw!$A$4:$A$42,"&gt;="&amp;DATE(2026,5,1),Xero_Raw!$A$4:$A$42,"&lt;"&amp;EDATE(DATE(2026,5,1),1))</f>
        <v>23400.3</v>
      </c>
      <c r="D10" s="64" t="n">
        <f aca="false">SUMIFS(Xero_Raw!$H$4:$H$42,Xero_Raw!$D$4:$D$42,$A10,Xero_Raw!$C$4:$C$42,"Bill",Xero_Raw!$A$4:$A$42,"&gt;="&amp;DATE(2026,6,1),Xero_Raw!$A$4:$A$42,"&lt;"&amp;EDATE(DATE(2026,6,1),1))</f>
        <v>6652.47</v>
      </c>
      <c r="E10" s="61" t="n">
        <f aca="false">SUM(B10:D10)</f>
        <v>56032.59</v>
      </c>
    </row>
    <row r="11" customFormat="false" ht="15" hidden="false" customHeight="true" outlineLevel="0" collapsed="false">
      <c r="A11" s="34" t="s">
        <v>204</v>
      </c>
      <c r="B11" s="64" t="n">
        <f aca="false">SUMIFS(Xero_Raw!$H$4:$H$42,Xero_Raw!$D$4:$D$42,$A11,Xero_Raw!$C$4:$C$42,"Bill",Xero_Raw!$A$4:$A$42,"&gt;="&amp;DATE(2026,4,1),Xero_Raw!$A$4:$A$42,"&lt;"&amp;EDATE(DATE(2026,4,1),1))</f>
        <v>0</v>
      </c>
      <c r="C11" s="64" t="n">
        <f aca="false">SUMIFS(Xero_Raw!$H$4:$H$42,Xero_Raw!$D$4:$D$42,$A11,Xero_Raw!$C$4:$C$42,"Bill",Xero_Raw!$A$4:$A$42,"&gt;="&amp;DATE(2026,5,1),Xero_Raw!$A$4:$A$42,"&lt;"&amp;EDATE(DATE(2026,5,1),1))</f>
        <v>7849.93</v>
      </c>
      <c r="D11" s="64" t="n">
        <f aca="false">SUMIFS(Xero_Raw!$H$4:$H$42,Xero_Raw!$D$4:$D$42,$A11,Xero_Raw!$C$4:$C$42,"Bill",Xero_Raw!$A$4:$A$42,"&gt;="&amp;DATE(2026,6,1),Xero_Raw!$A$4:$A$42,"&lt;"&amp;EDATE(DATE(2026,6,1),1))</f>
        <v>0</v>
      </c>
      <c r="E11" s="61" t="n">
        <f aca="false">SUM(B11:D11)</f>
        <v>7849.93</v>
      </c>
    </row>
    <row r="12" customFormat="false" ht="15" hidden="false" customHeight="true" outlineLevel="0" collapsed="false">
      <c r="A12" s="62" t="s">
        <v>466</v>
      </c>
      <c r="B12" s="63" t="n">
        <f aca="false">SUM(B6:B11)</f>
        <v>78417.43</v>
      </c>
      <c r="C12" s="63" t="n">
        <f aca="false">SUM(C6:C11)</f>
        <v>74293.65</v>
      </c>
      <c r="D12" s="63" t="n">
        <f aca="false">SUM(D6:D11)</f>
        <v>59109.33</v>
      </c>
      <c r="E12" s="63" t="n">
        <f aca="false">SUM(E6:E11)</f>
        <v>211820.41</v>
      </c>
    </row>
    <row r="14" customFormat="false" ht="15" hidden="false" customHeight="true" outlineLevel="0" collapsed="false">
      <c r="A14" s="55" t="s">
        <v>467</v>
      </c>
    </row>
    <row r="15" customFormat="false" ht="19.5" hidden="false" customHeight="true" outlineLevel="0" collapsed="false">
      <c r="A15" s="67" t="s">
        <v>107</v>
      </c>
      <c r="B15" s="67" t="s">
        <v>279</v>
      </c>
      <c r="C15" s="67" t="s">
        <v>280</v>
      </c>
      <c r="D15" s="67" t="s">
        <v>281</v>
      </c>
      <c r="E15" s="67" t="s">
        <v>451</v>
      </c>
    </row>
    <row r="16" customFormat="false" ht="15" hidden="false" customHeight="true" outlineLevel="0" collapsed="false">
      <c r="A16" s="34" t="s">
        <v>148</v>
      </c>
      <c r="B16" s="64" t="n">
        <f aca="false">SUMIFS(Meta_Invoices!$E$35:$E$52,Meta_Invoices!$A$35:$A$52,$A16,Meta_Invoices!$B$35:$B$52,"Apr-2026")</f>
        <v>6169.34</v>
      </c>
      <c r="C16" s="64" t="n">
        <f aca="false">SUMIFS(Meta_Invoices!$E$35:$E$52,Meta_Invoices!$A$35:$A$52,$A16,Meta_Invoices!$B$35:$B$52,"May-2026")</f>
        <v>4597.89</v>
      </c>
      <c r="D16" s="64" t="n">
        <f aca="false">SUMIFS(Meta_Invoices!$E$35:$E$52,Meta_Invoices!$A$35:$A$52,$A16,Meta_Invoices!$B$35:$B$52,"Jun-2026")</f>
        <v>1035.81</v>
      </c>
      <c r="E16" s="61" t="n">
        <f aca="false">SUM(B16:D16)</f>
        <v>11803.04</v>
      </c>
    </row>
    <row r="17" customFormat="false" ht="15" hidden="false" customHeight="true" outlineLevel="0" collapsed="false">
      <c r="A17" s="34" t="s">
        <v>124</v>
      </c>
      <c r="B17" s="64" t="n">
        <f aca="false">SUMIFS(Meta_Invoices!$E$35:$E$52,Meta_Invoices!$A$35:$A$52,$A17,Meta_Invoices!$B$35:$B$52,"Apr-2026")</f>
        <v>6182.06</v>
      </c>
      <c r="C17" s="64" t="n">
        <f aca="false">SUMIFS(Meta_Invoices!$E$35:$E$52,Meta_Invoices!$A$35:$A$52,$A17,Meta_Invoices!$B$35:$B$52,"May-2026")</f>
        <v>2281.89</v>
      </c>
      <c r="D17" s="64" t="n">
        <f aca="false">SUMIFS(Meta_Invoices!$E$35:$E$52,Meta_Invoices!$A$35:$A$52,$A17,Meta_Invoices!$B$35:$B$52,"Jun-2026")</f>
        <v>7398.52</v>
      </c>
      <c r="E17" s="61" t="n">
        <f aca="false">SUM(B17:D17)</f>
        <v>15862.47</v>
      </c>
    </row>
    <row r="18" customFormat="false" ht="15" hidden="false" customHeight="true" outlineLevel="0" collapsed="false">
      <c r="A18" s="34" t="s">
        <v>130</v>
      </c>
      <c r="B18" s="64" t="n">
        <f aca="false">SUMIFS(Meta_Invoices!$E$35:$E$52,Meta_Invoices!$A$35:$A$52,$A18,Meta_Invoices!$B$35:$B$52,"Apr-2026")</f>
        <v>2756.32</v>
      </c>
      <c r="C18" s="64" t="n">
        <f aca="false">SUMIFS(Meta_Invoices!$E$35:$E$52,Meta_Invoices!$A$35:$A$52,$A18,Meta_Invoices!$B$35:$B$52,"May-2026")</f>
        <v>3575.87</v>
      </c>
      <c r="D18" s="64" t="n">
        <f aca="false">SUMIFS(Meta_Invoices!$E$35:$E$52,Meta_Invoices!$A$35:$A$52,$A18,Meta_Invoices!$B$35:$B$52,"Jun-2026")</f>
        <v>2191.35</v>
      </c>
      <c r="E18" s="61" t="n">
        <f aca="false">SUM(B18:D18)</f>
        <v>8523.54</v>
      </c>
    </row>
    <row r="19" customFormat="false" ht="15" hidden="false" customHeight="true" outlineLevel="0" collapsed="false">
      <c r="A19" s="34" t="s">
        <v>132</v>
      </c>
      <c r="B19" s="64" t="n">
        <f aca="false">SUMIFS(Meta_Invoices!$E$35:$E$52,Meta_Invoices!$A$35:$A$52,$A19,Meta_Invoices!$B$35:$B$52,"Apr-2026")</f>
        <v>2568.24</v>
      </c>
      <c r="C19" s="64" t="n">
        <f aca="false">SUMIFS(Meta_Invoices!$E$35:$E$52,Meta_Invoices!$A$35:$A$52,$A19,Meta_Invoices!$B$35:$B$52,"May-2026")</f>
        <v>3582.31</v>
      </c>
      <c r="D19" s="64" t="n">
        <f aca="false">SUMIFS(Meta_Invoices!$E$35:$E$52,Meta_Invoices!$A$35:$A$52,$A19,Meta_Invoices!$B$35:$B$52,"Jun-2026")</f>
        <v>990.96</v>
      </c>
      <c r="E19" s="61" t="n">
        <f aca="false">SUM(B19:D19)</f>
        <v>7141.51</v>
      </c>
    </row>
    <row r="20" customFormat="false" ht="15" hidden="false" customHeight="true" outlineLevel="0" collapsed="false">
      <c r="A20" s="34" t="s">
        <v>158</v>
      </c>
      <c r="B20" s="64" t="n">
        <f aca="false">SUMIFS(Meta_Invoices!$E$35:$E$52,Meta_Invoices!$A$35:$A$52,$A20,Meta_Invoices!$B$35:$B$52,"Apr-2026")</f>
        <v>2501.04</v>
      </c>
      <c r="C20" s="64" t="n">
        <f aca="false">SUMIFS(Meta_Invoices!$E$35:$E$52,Meta_Invoices!$A$35:$A$52,$A20,Meta_Invoices!$B$35:$B$52,"May-2026")</f>
        <v>7625.47</v>
      </c>
      <c r="D20" s="64" t="n">
        <f aca="false">SUMIFS(Meta_Invoices!$E$35:$E$52,Meta_Invoices!$A$35:$A$52,$A20,Meta_Invoices!$B$35:$B$52,"Jun-2026")</f>
        <v>2080.91</v>
      </c>
      <c r="E20" s="61" t="n">
        <f aca="false">SUM(B20:D20)</f>
        <v>12207.42</v>
      </c>
    </row>
    <row r="21" customFormat="false" ht="15" hidden="false" customHeight="true" outlineLevel="0" collapsed="false">
      <c r="A21" s="34" t="s">
        <v>136</v>
      </c>
      <c r="B21" s="64" t="n">
        <f aca="false">SUMIFS(Meta_Invoices!$E$35:$E$52,Meta_Invoices!$A$35:$A$52,$A21,Meta_Invoices!$B$35:$B$52,"Apr-2026")</f>
        <v>3596.58</v>
      </c>
      <c r="C21" s="64" t="n">
        <f aca="false">SUMIFS(Meta_Invoices!$E$35:$E$52,Meta_Invoices!$A$35:$A$52,$A21,Meta_Invoices!$B$35:$B$52,"May-2026")</f>
        <v>3583.34</v>
      </c>
      <c r="D21" s="64" t="n">
        <f aca="false">SUMIFS(Meta_Invoices!$E$35:$E$52,Meta_Invoices!$A$35:$A$52,$A21,Meta_Invoices!$B$35:$B$52,"Jun-2026")</f>
        <v>2729.9</v>
      </c>
      <c r="E21" s="61" t="n">
        <f aca="false">SUM(B21:D21)</f>
        <v>9909.82</v>
      </c>
    </row>
    <row r="22" customFormat="false" ht="15" hidden="false" customHeight="true" outlineLevel="0" collapsed="false">
      <c r="A22" s="62" t="s">
        <v>468</v>
      </c>
      <c r="B22" s="63" t="n">
        <f aca="false">SUM(B16:B21)</f>
        <v>23773.58</v>
      </c>
      <c r="C22" s="63" t="n">
        <f aca="false">SUM(C16:C21)</f>
        <v>25246.77</v>
      </c>
      <c r="D22" s="63" t="n">
        <f aca="false">SUM(D16:D21)</f>
        <v>16427.45</v>
      </c>
      <c r="E22" s="63" t="n">
        <f aca="false">SUM(E16:E21)</f>
        <v>65447.8</v>
      </c>
    </row>
    <row r="24" customFormat="false" ht="15" hidden="false" customHeight="true" outlineLevel="0" collapsed="false">
      <c r="A24" s="55" t="s">
        <v>469</v>
      </c>
    </row>
    <row r="25" customFormat="false" ht="19.5" hidden="false" customHeight="true" outlineLevel="0" collapsed="false">
      <c r="A25" s="68" t="s">
        <v>450</v>
      </c>
      <c r="B25" s="68" t="s">
        <v>279</v>
      </c>
      <c r="C25" s="68" t="s">
        <v>280</v>
      </c>
      <c r="D25" s="68" t="s">
        <v>281</v>
      </c>
      <c r="E25" s="68" t="s">
        <v>451</v>
      </c>
    </row>
    <row r="26" customFormat="false" ht="15" hidden="false" customHeight="true" outlineLevel="0" collapsed="false">
      <c r="A26" s="34" t="s">
        <v>291</v>
      </c>
      <c r="B26" s="64" t="n">
        <f aca="false">SUMIFS(Credit_Card_Upload!$F$4:$F$33,Credit_Card_Upload!$G$4:$G$33,$A26,Credit_Card_Upload!$C$4:$C$33,"&gt;="&amp;DATE(2026,4,1),Credit_Card_Upload!$C$4:$C$33,"&lt;"&amp;EDATE(DATE(2026,4,1),1))</f>
        <v>0</v>
      </c>
      <c r="C26" s="64" t="n">
        <f aca="false">SUMIFS(Credit_Card_Upload!$F$4:$F$33,Credit_Card_Upload!$G$4:$G$33,$A26,Credit_Card_Upload!$C$4:$C$33,"&gt;="&amp;DATE(2026,5,1),Credit_Card_Upload!$C$4:$C$33,"&lt;"&amp;EDATE(DATE(2026,5,1),1))</f>
        <v>5726.01</v>
      </c>
      <c r="D26" s="64" t="n">
        <f aca="false">SUMIFS(Credit_Card_Upload!$F$4:$F$33,Credit_Card_Upload!$G$4:$G$33,$A26,Credit_Card_Upload!$C$4:$C$33,"&gt;="&amp;DATE(2026,6,1),Credit_Card_Upload!$C$4:$C$33,"&lt;"&amp;EDATE(DATE(2026,6,1),1))</f>
        <v>0</v>
      </c>
      <c r="E26" s="61" t="n">
        <f aca="false">SUM(B26:D26)</f>
        <v>5726.01</v>
      </c>
    </row>
    <row r="27" customFormat="false" ht="15" hidden="false" customHeight="true" outlineLevel="0" collapsed="false">
      <c r="A27" s="34" t="s">
        <v>294</v>
      </c>
      <c r="B27" s="64" t="n">
        <f aca="false">SUMIFS(Credit_Card_Upload!$F$4:$F$33,Credit_Card_Upload!$G$4:$G$33,$A27,Credit_Card_Upload!$C$4:$C$33,"&gt;="&amp;DATE(2026,4,1),Credit_Card_Upload!$C$4:$C$33,"&lt;"&amp;EDATE(DATE(2026,4,1),1))</f>
        <v>4200.66</v>
      </c>
      <c r="C27" s="64" t="n">
        <f aca="false">SUMIFS(Credit_Card_Upload!$F$4:$F$33,Credit_Card_Upload!$G$4:$G$33,$A27,Credit_Card_Upload!$C$4:$C$33,"&gt;="&amp;DATE(2026,5,1),Credit_Card_Upload!$C$4:$C$33,"&lt;"&amp;EDATE(DATE(2026,5,1),1))</f>
        <v>2799.31</v>
      </c>
      <c r="D27" s="64" t="n">
        <f aca="false">SUMIFS(Credit_Card_Upload!$F$4:$F$33,Credit_Card_Upload!$G$4:$G$33,$A27,Credit_Card_Upload!$C$4:$C$33,"&gt;="&amp;DATE(2026,6,1),Credit_Card_Upload!$C$4:$C$33,"&lt;"&amp;EDATE(DATE(2026,6,1),1))</f>
        <v>2497.9</v>
      </c>
      <c r="E27" s="61" t="n">
        <f aca="false">SUM(B27:D27)</f>
        <v>9497.87</v>
      </c>
    </row>
    <row r="28" customFormat="false" ht="15" hidden="false" customHeight="true" outlineLevel="0" collapsed="false">
      <c r="A28" s="34" t="s">
        <v>296</v>
      </c>
      <c r="B28" s="64" t="n">
        <f aca="false">SUMIFS(Credit_Card_Upload!$F$4:$F$33,Credit_Card_Upload!$G$4:$G$33,$A28,Credit_Card_Upload!$C$4:$C$33,"&gt;="&amp;DATE(2026,4,1),Credit_Card_Upload!$C$4:$C$33,"&lt;"&amp;EDATE(DATE(2026,4,1),1))</f>
        <v>0</v>
      </c>
      <c r="C28" s="64" t="n">
        <f aca="false">SUMIFS(Credit_Card_Upload!$F$4:$F$33,Credit_Card_Upload!$G$4:$G$33,$A28,Credit_Card_Upload!$C$4:$C$33,"&gt;="&amp;DATE(2026,5,1),Credit_Card_Upload!$C$4:$C$33,"&lt;"&amp;EDATE(DATE(2026,5,1),1))</f>
        <v>9257.15</v>
      </c>
      <c r="D28" s="64" t="n">
        <f aca="false">SUMIFS(Credit_Card_Upload!$F$4:$F$33,Credit_Card_Upload!$G$4:$G$33,$A28,Credit_Card_Upload!$C$4:$C$33,"&gt;="&amp;DATE(2026,6,1),Credit_Card_Upload!$C$4:$C$33,"&lt;"&amp;EDATE(DATE(2026,6,1),1))</f>
        <v>2872.69</v>
      </c>
      <c r="E28" s="61" t="n">
        <f aca="false">SUM(B28:D28)</f>
        <v>12129.84</v>
      </c>
    </row>
    <row r="29" customFormat="false" ht="15" hidden="false" customHeight="true" outlineLevel="0" collapsed="false">
      <c r="A29" s="34" t="s">
        <v>452</v>
      </c>
      <c r="B29" s="64" t="n">
        <f aca="false">SUMIFS(Credit_Card_Upload!$F$4:$F$33,Credit_Card_Upload!$G$4:$G$33,$A29,Credit_Card_Upload!$C$4:$C$33,"&gt;="&amp;DATE(2026,4,1),Credit_Card_Upload!$C$4:$C$33,"&lt;"&amp;EDATE(DATE(2026,4,1),1))</f>
        <v>8835.16</v>
      </c>
      <c r="C29" s="64" t="n">
        <f aca="false">SUMIFS(Credit_Card_Upload!$F$4:$F$33,Credit_Card_Upload!$G$4:$G$33,$A29,Credit_Card_Upload!$C$4:$C$33,"&gt;="&amp;DATE(2026,5,1),Credit_Card_Upload!$C$4:$C$33,"&lt;"&amp;EDATE(DATE(2026,5,1),1))</f>
        <v>2849.57</v>
      </c>
      <c r="D29" s="64" t="n">
        <f aca="false">SUMIFS(Credit_Card_Upload!$F$4:$F$33,Credit_Card_Upload!$G$4:$G$33,$A29,Credit_Card_Upload!$C$4:$C$33,"&gt;="&amp;DATE(2026,6,1),Credit_Card_Upload!$C$4:$C$33,"&lt;"&amp;EDATE(DATE(2026,6,1),1))</f>
        <v>12554.37</v>
      </c>
      <c r="E29" s="61" t="n">
        <f aca="false">SUM(B29:D29)</f>
        <v>24239.1</v>
      </c>
    </row>
    <row r="30" customFormat="false" ht="15" hidden="false" customHeight="true" outlineLevel="0" collapsed="false">
      <c r="A30" s="62" t="s">
        <v>470</v>
      </c>
      <c r="B30" s="63" t="n">
        <f aca="false">SUM(B26:B29)</f>
        <v>13035.82</v>
      </c>
      <c r="C30" s="63" t="n">
        <f aca="false">SUM(C26:C29)</f>
        <v>20632.04</v>
      </c>
      <c r="D30" s="63" t="n">
        <f aca="false">SUM(D26:D29)</f>
        <v>17924.96</v>
      </c>
      <c r="E30" s="63" t="n">
        <f aca="false">SUM(E26:E29)</f>
        <v>51592.82</v>
      </c>
    </row>
    <row r="32" customFormat="false" ht="15" hidden="false" customHeight="true" outlineLevel="0" collapsed="false">
      <c r="A32" s="55" t="s">
        <v>471</v>
      </c>
    </row>
    <row r="33" customFormat="false" ht="19.5" hidden="false" customHeight="true" outlineLevel="0" collapsed="false">
      <c r="A33" s="69" t="s">
        <v>450</v>
      </c>
      <c r="B33" s="69" t="s">
        <v>279</v>
      </c>
      <c r="C33" s="69" t="s">
        <v>280</v>
      </c>
      <c r="D33" s="69" t="s">
        <v>281</v>
      </c>
      <c r="E33" s="69" t="s">
        <v>451</v>
      </c>
    </row>
    <row r="34" customFormat="false" ht="15" hidden="false" customHeight="true" outlineLevel="0" collapsed="false">
      <c r="A34" s="34" t="s">
        <v>291</v>
      </c>
      <c r="B34" s="64" t="n">
        <f aca="false">SUMIFS(Vendor_Invoices_Upload!$G$4:$G$15,Vendor_Invoices_Upload!$I$4:$I$15,$A34,Vendor_Invoices_Upload!$B$4:$B$15,"&gt;="&amp;DATE(2026,4,1),Vendor_Invoices_Upload!$B$4:$B$15,"&lt;"&amp;EDATE(DATE(2026,4,1),1))</f>
        <v>11930.78</v>
      </c>
      <c r="C34" s="64" t="n">
        <f aca="false">SUMIFS(Vendor_Invoices_Upload!$G$4:$G$15,Vendor_Invoices_Upload!$I$4:$I$15,$A34,Vendor_Invoices_Upload!$B$4:$B$15,"&gt;="&amp;DATE(2026,5,1),Vendor_Invoices_Upload!$B$4:$B$15,"&lt;"&amp;EDATE(DATE(2026,5,1),1))</f>
        <v>0</v>
      </c>
      <c r="D34" s="64" t="n">
        <f aca="false">SUMIFS(Vendor_Invoices_Upload!$G$4:$G$15,Vendor_Invoices_Upload!$I$4:$I$15,$A34,Vendor_Invoices_Upload!$B$4:$B$15,"&gt;="&amp;DATE(2026,6,1),Vendor_Invoices_Upload!$B$4:$B$15,"&lt;"&amp;EDATE(DATE(2026,6,1),1))</f>
        <v>5469.6</v>
      </c>
      <c r="E34" s="61" t="n">
        <f aca="false">SUM(B34:D34)</f>
        <v>17400.38</v>
      </c>
    </row>
    <row r="35" customFormat="false" ht="15" hidden="false" customHeight="true" outlineLevel="0" collapsed="false">
      <c r="A35" s="34" t="s">
        <v>294</v>
      </c>
      <c r="B35" s="64" t="n">
        <f aca="false">SUMIFS(Vendor_Invoices_Upload!$G$4:$G$15,Vendor_Invoices_Upload!$I$4:$I$15,$A35,Vendor_Invoices_Upload!$B$4:$B$15,"&gt;="&amp;DATE(2026,4,1),Vendor_Invoices_Upload!$B$4:$B$15,"&lt;"&amp;EDATE(DATE(2026,4,1),1))</f>
        <v>0</v>
      </c>
      <c r="C35" s="64" t="n">
        <f aca="false">SUMIFS(Vendor_Invoices_Upload!$G$4:$G$15,Vendor_Invoices_Upload!$I$4:$I$15,$A35,Vendor_Invoices_Upload!$B$4:$B$15,"&gt;="&amp;DATE(2026,5,1),Vendor_Invoices_Upload!$B$4:$B$15,"&lt;"&amp;EDATE(DATE(2026,5,1),1))</f>
        <v>0</v>
      </c>
      <c r="D35" s="64" t="n">
        <f aca="false">SUMIFS(Vendor_Invoices_Upload!$G$4:$G$15,Vendor_Invoices_Upload!$I$4:$I$15,$A35,Vendor_Invoices_Upload!$B$4:$B$15,"&gt;="&amp;DATE(2026,6,1),Vendor_Invoices_Upload!$B$4:$B$15,"&lt;"&amp;EDATE(DATE(2026,6,1),1))</f>
        <v>0</v>
      </c>
      <c r="E35" s="61" t="n">
        <f aca="false">SUM(B35:D35)</f>
        <v>0</v>
      </c>
    </row>
    <row r="36" customFormat="false" ht="15" hidden="false" customHeight="true" outlineLevel="0" collapsed="false">
      <c r="A36" s="34" t="s">
        <v>296</v>
      </c>
      <c r="B36" s="64" t="n">
        <f aca="false">SUMIFS(Vendor_Invoices_Upload!$G$4:$G$15,Vendor_Invoices_Upload!$I$4:$I$15,$A36,Vendor_Invoices_Upload!$B$4:$B$15,"&gt;="&amp;DATE(2026,4,1),Vendor_Invoices_Upload!$B$4:$B$15,"&lt;"&amp;EDATE(DATE(2026,4,1),1))</f>
        <v>0</v>
      </c>
      <c r="C36" s="64" t="n">
        <f aca="false">SUMIFS(Vendor_Invoices_Upload!$G$4:$G$15,Vendor_Invoices_Upload!$I$4:$I$15,$A36,Vendor_Invoices_Upload!$B$4:$B$15,"&gt;="&amp;DATE(2026,5,1),Vendor_Invoices_Upload!$B$4:$B$15,"&lt;"&amp;EDATE(DATE(2026,5,1),1))</f>
        <v>0</v>
      </c>
      <c r="D36" s="64" t="n">
        <f aca="false">SUMIFS(Vendor_Invoices_Upload!$G$4:$G$15,Vendor_Invoices_Upload!$I$4:$I$15,$A36,Vendor_Invoices_Upload!$B$4:$B$15,"&gt;="&amp;DATE(2026,6,1),Vendor_Invoices_Upload!$B$4:$B$15,"&lt;"&amp;EDATE(DATE(2026,6,1),1))</f>
        <v>0</v>
      </c>
      <c r="E36" s="61" t="n">
        <f aca="false">SUM(B36:D36)</f>
        <v>0</v>
      </c>
    </row>
    <row r="37" customFormat="false" ht="15" hidden="false" customHeight="true" outlineLevel="0" collapsed="false">
      <c r="A37" s="34" t="s">
        <v>452</v>
      </c>
      <c r="B37" s="64" t="n">
        <f aca="false">SUMIFS(Vendor_Invoices_Upload!$G$4:$G$15,Vendor_Invoices_Upload!$I$4:$I$15,$A37,Vendor_Invoices_Upload!$B$4:$B$15,"&gt;="&amp;DATE(2026,4,1),Vendor_Invoices_Upload!$B$4:$B$15,"&lt;"&amp;EDATE(DATE(2026,4,1),1))</f>
        <v>7510.26</v>
      </c>
      <c r="C37" s="64" t="n">
        <f aca="false">SUMIFS(Vendor_Invoices_Upload!$G$4:$G$15,Vendor_Invoices_Upload!$I$4:$I$15,$A37,Vendor_Invoices_Upload!$B$4:$B$15,"&gt;="&amp;DATE(2026,5,1),Vendor_Invoices_Upload!$B$4:$B$15,"&lt;"&amp;EDATE(DATE(2026,5,1),1))</f>
        <v>17310.2</v>
      </c>
      <c r="D37" s="64" t="n">
        <f aca="false">SUMIFS(Vendor_Invoices_Upload!$G$4:$G$15,Vendor_Invoices_Upload!$I$4:$I$15,$A37,Vendor_Invoices_Upload!$B$4:$B$15,"&gt;="&amp;DATE(2026,6,1),Vendor_Invoices_Upload!$B$4:$B$15,"&lt;"&amp;EDATE(DATE(2026,6,1),1))</f>
        <v>10493.39</v>
      </c>
      <c r="E37" s="61" t="n">
        <f aca="false">SUM(B37:D37)</f>
        <v>35313.85</v>
      </c>
    </row>
    <row r="38" customFormat="false" ht="15" hidden="false" customHeight="true" outlineLevel="0" collapsed="false">
      <c r="A38" s="62" t="s">
        <v>472</v>
      </c>
      <c r="B38" s="63" t="n">
        <f aca="false">SUM(B34:B37)</f>
        <v>19441.04</v>
      </c>
      <c r="C38" s="63" t="n">
        <f aca="false">SUM(C34:C37)</f>
        <v>17310.2</v>
      </c>
      <c r="D38" s="63" t="n">
        <f aca="false">SUM(D34:D37)</f>
        <v>15962.99</v>
      </c>
      <c r="E38" s="63" t="n">
        <f aca="false">SUM(E34:E37)</f>
        <v>52714.23</v>
      </c>
    </row>
    <row r="41" customFormat="false" ht="15" hidden="false" customHeight="true" outlineLevel="0" collapsed="false">
      <c r="A41" s="70" t="s">
        <v>473</v>
      </c>
      <c r="B41" s="71" t="n">
        <f aca="false">B12+B22+B30+B38</f>
        <v>134667.87</v>
      </c>
      <c r="C41" s="71" t="n">
        <f aca="false">C12+C22+C30+C38</f>
        <v>137482.66</v>
      </c>
      <c r="D41" s="71" t="n">
        <f aca="false">D12+D22+D30+D38</f>
        <v>109424.73</v>
      </c>
      <c r="E41" s="71" t="n">
        <f aca="false">E12+E22+E30+E38</f>
        <v>381575.26</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44AD"/>
    <pageSetUpPr fitToPage="false"/>
  </sheetPr>
  <dimension ref="A1:H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22" width="13"/>
    <col collapsed="false" customWidth="true" hidden="false" outlineLevel="0" max="3" min="3" style="22" width="34"/>
    <col collapsed="false" customWidth="true" hidden="false" outlineLevel="0" max="4" min="4" style="22" width="12"/>
    <col collapsed="false" customWidth="true" hidden="false" outlineLevel="0" max="5" min="5" style="22" width="14"/>
    <col collapsed="false" customWidth="true" hidden="false" outlineLevel="0" max="6" min="6" style="22" width="16"/>
    <col collapsed="false" customWidth="true" hidden="false" outlineLevel="0" max="8" min="7" style="22" width="12"/>
  </cols>
  <sheetData>
    <row r="1" customFormat="false" ht="15" hidden="false" customHeight="true" outlineLevel="0" collapsed="false">
      <c r="A1" s="42" t="s">
        <v>474</v>
      </c>
      <c r="B1" s="42"/>
      <c r="C1" s="42"/>
      <c r="D1" s="42"/>
      <c r="E1" s="42"/>
      <c r="F1" s="42"/>
      <c r="G1" s="42"/>
      <c r="H1" s="42"/>
    </row>
    <row r="2" customFormat="false" ht="15" hidden="false" customHeight="true" outlineLevel="0" collapsed="false">
      <c r="A2" s="36" t="s">
        <v>475</v>
      </c>
      <c r="B2" s="36"/>
      <c r="C2" s="36"/>
      <c r="D2" s="36"/>
      <c r="E2" s="36"/>
      <c r="F2" s="36"/>
      <c r="G2" s="36"/>
      <c r="H2" s="36"/>
    </row>
    <row r="4" customFormat="false" ht="15" hidden="false" customHeight="true" outlineLevel="0" collapsed="false">
      <c r="B4" s="53" t="s">
        <v>434</v>
      </c>
      <c r="C4" s="54" t="n">
        <f aca="false">DATE(2026,6,30)</f>
        <v>46203</v>
      </c>
    </row>
    <row r="6" customFormat="false" ht="15" hidden="false" customHeight="true" outlineLevel="0" collapsed="false">
      <c r="A6" s="55" t="s">
        <v>476</v>
      </c>
    </row>
    <row r="7" customFormat="false" ht="19.5" hidden="false" customHeight="true" outlineLevel="0" collapsed="false">
      <c r="A7" s="56" t="s">
        <v>231</v>
      </c>
      <c r="B7" s="56" t="s">
        <v>169</v>
      </c>
      <c r="C7" s="56" t="s">
        <v>107</v>
      </c>
      <c r="D7" s="56" t="s">
        <v>289</v>
      </c>
      <c r="E7" s="56" t="s">
        <v>174</v>
      </c>
      <c r="F7" s="56" t="s">
        <v>114</v>
      </c>
      <c r="G7" s="56" t="s">
        <v>436</v>
      </c>
      <c r="H7" s="56" t="s">
        <v>437</v>
      </c>
    </row>
    <row r="8" customFormat="false" ht="15" hidden="false" customHeight="true" outlineLevel="0" collapsed="false">
      <c r="A8" s="57" t="str">
        <f aca="false">IF(AND(Xero_Raw!$C$4="Invoice",AND(Xero_Raw!$I$4&lt;&gt;"Paid",Xero_Raw!$I$4&lt;&gt;"Void",Xero_Raw!$I$4&lt;&gt;"Draft")),Xero_Raw!$A$4,"")</f>
        <v/>
      </c>
      <c r="B8" s="57" t="str">
        <f aca="false">IF(AND(Xero_Raw!$C$4="Invoice",AND(Xero_Raw!$I$4&lt;&gt;"Paid",Xero_Raw!$I$4&lt;&gt;"Void",Xero_Raw!$I$4&lt;&gt;"Draft")),Xero_Raw!$B$4,"")</f>
        <v/>
      </c>
      <c r="C8" s="58" t="str">
        <f aca="false">IF(AND(Xero_Raw!$C$4="Invoice",AND(Xero_Raw!$I$4&lt;&gt;"Paid",Xero_Raw!$I$4&lt;&gt;"Void",Xero_Raw!$I$4&lt;&gt;"Draft")),Xero_Raw!$D$4,"")</f>
        <v/>
      </c>
      <c r="D8" s="58" t="str">
        <f aca="false">IF(C8="","",IFERROR(VLOOKUP(C8,Assumptions!$G$5:$H$16,2,0),"Other"))</f>
        <v/>
      </c>
      <c r="E8" s="59" t="str">
        <f aca="false">IF(AND(Xero_Raw!$C$4="Invoice",AND(Xero_Raw!$I$4&lt;&gt;"Paid",Xero_Raw!$I$4&lt;&gt;"Void",Xero_Raw!$I$4&lt;&gt;"Draft")),Xero_Raw!$H$4,"")</f>
        <v/>
      </c>
      <c r="F8" s="58" t="str">
        <f aca="false">IF(AND(Xero_Raw!$C$4="Invoice",AND(Xero_Raw!$I$4&lt;&gt;"Paid",Xero_Raw!$I$4&lt;&gt;"Void",Xero_Raw!$I$4&lt;&gt;"Draft")),Xero_Raw!$I$4,"")</f>
        <v/>
      </c>
      <c r="G8" s="58" t="str">
        <f aca="false">IF(B8="","",MAX($C$4-B8,0))</f>
        <v/>
      </c>
      <c r="H8" s="34" t="str">
        <f aca="false">IF(G8="","",IF(G8&lt;=30,"0-30",IF(G8&lt;=60,"31-60",IF(G8&lt;=90,"61-90","90+"))))</f>
        <v/>
      </c>
    </row>
    <row r="9" customFormat="false" ht="15" hidden="false" customHeight="true" outlineLevel="0" collapsed="false">
      <c r="A9" s="57" t="str">
        <f aca="false">IF(AND(Xero_Raw!$C$5="Invoice",AND(Xero_Raw!$I$5&lt;&gt;"Paid",Xero_Raw!$I$5&lt;&gt;"Void",Xero_Raw!$I$5&lt;&gt;"Draft")),Xero_Raw!$A$5,"")</f>
        <v/>
      </c>
      <c r="B9" s="57" t="str">
        <f aca="false">IF(AND(Xero_Raw!$C$5="Invoice",AND(Xero_Raw!$I$5&lt;&gt;"Paid",Xero_Raw!$I$5&lt;&gt;"Void",Xero_Raw!$I$5&lt;&gt;"Draft")),Xero_Raw!$B$5,"")</f>
        <v/>
      </c>
      <c r="C9" s="58" t="str">
        <f aca="false">IF(AND(Xero_Raw!$C$5="Invoice",AND(Xero_Raw!$I$5&lt;&gt;"Paid",Xero_Raw!$I$5&lt;&gt;"Void",Xero_Raw!$I$5&lt;&gt;"Draft")),Xero_Raw!$D$5,"")</f>
        <v/>
      </c>
      <c r="D9" s="58" t="str">
        <f aca="false">IF(C9="","",IFERROR(VLOOKUP(C9,Assumptions!$G$5:$H$16,2,0),"Other"))</f>
        <v/>
      </c>
      <c r="E9" s="59" t="str">
        <f aca="false">IF(AND(Xero_Raw!$C$5="Invoice",AND(Xero_Raw!$I$5&lt;&gt;"Paid",Xero_Raw!$I$5&lt;&gt;"Void",Xero_Raw!$I$5&lt;&gt;"Draft")),Xero_Raw!$H$5,"")</f>
        <v/>
      </c>
      <c r="F9" s="58" t="str">
        <f aca="false">IF(AND(Xero_Raw!$C$5="Invoice",AND(Xero_Raw!$I$5&lt;&gt;"Paid",Xero_Raw!$I$5&lt;&gt;"Void",Xero_Raw!$I$5&lt;&gt;"Draft")),Xero_Raw!$I$5,"")</f>
        <v/>
      </c>
      <c r="G9" s="58" t="str">
        <f aca="false">IF(B9="","",MAX($C$4-B9,0))</f>
        <v/>
      </c>
      <c r="H9" s="34" t="str">
        <f aca="false">IF(G9="","",IF(G9&lt;=30,"0-30",IF(G9&lt;=60,"31-60",IF(G9&lt;=90,"61-90","90+"))))</f>
        <v/>
      </c>
    </row>
    <row r="10" customFormat="false" ht="15" hidden="false" customHeight="true" outlineLevel="0" collapsed="false">
      <c r="A10" s="57" t="str">
        <f aca="false">IF(AND(Xero_Raw!$C$6="Invoice",AND(Xero_Raw!$I$6&lt;&gt;"Paid",Xero_Raw!$I$6&lt;&gt;"Void",Xero_Raw!$I$6&lt;&gt;"Draft")),Xero_Raw!$A$6,"")</f>
        <v/>
      </c>
      <c r="B10" s="57" t="str">
        <f aca="false">IF(AND(Xero_Raw!$C$6="Invoice",AND(Xero_Raw!$I$6&lt;&gt;"Paid",Xero_Raw!$I$6&lt;&gt;"Void",Xero_Raw!$I$6&lt;&gt;"Draft")),Xero_Raw!$B$6,"")</f>
        <v/>
      </c>
      <c r="C10" s="58" t="str">
        <f aca="false">IF(AND(Xero_Raw!$C$6="Invoice",AND(Xero_Raw!$I$6&lt;&gt;"Paid",Xero_Raw!$I$6&lt;&gt;"Void",Xero_Raw!$I$6&lt;&gt;"Draft")),Xero_Raw!$D$6,"")</f>
        <v/>
      </c>
      <c r="D10" s="58" t="str">
        <f aca="false">IF(C10="","",IFERROR(VLOOKUP(C10,Assumptions!$G$5:$H$16,2,0),"Other"))</f>
        <v/>
      </c>
      <c r="E10" s="59" t="str">
        <f aca="false">IF(AND(Xero_Raw!$C$6="Invoice",AND(Xero_Raw!$I$6&lt;&gt;"Paid",Xero_Raw!$I$6&lt;&gt;"Void",Xero_Raw!$I$6&lt;&gt;"Draft")),Xero_Raw!$H$6,"")</f>
        <v/>
      </c>
      <c r="F10" s="58" t="str">
        <f aca="false">IF(AND(Xero_Raw!$C$6="Invoice",AND(Xero_Raw!$I$6&lt;&gt;"Paid",Xero_Raw!$I$6&lt;&gt;"Void",Xero_Raw!$I$6&lt;&gt;"Draft")),Xero_Raw!$I$6,"")</f>
        <v/>
      </c>
      <c r="G10" s="58" t="str">
        <f aca="false">IF(B10="","",MAX($C$4-B10,0))</f>
        <v/>
      </c>
      <c r="H10" s="34" t="str">
        <f aca="false">IF(G10="","",IF(G10&lt;=30,"0-30",IF(G10&lt;=60,"31-60",IF(G10&lt;=90,"61-90","90+"))))</f>
        <v/>
      </c>
    </row>
    <row r="11" customFormat="false" ht="15" hidden="false" customHeight="true" outlineLevel="0" collapsed="false">
      <c r="A11" s="57" t="str">
        <f aca="false">IF(AND(Xero_Raw!$C$7="Invoice",AND(Xero_Raw!$I$7&lt;&gt;"Paid",Xero_Raw!$I$7&lt;&gt;"Void",Xero_Raw!$I$7&lt;&gt;"Draft")),Xero_Raw!$A$7,"")</f>
        <v/>
      </c>
      <c r="B11" s="57" t="str">
        <f aca="false">IF(AND(Xero_Raw!$C$7="Invoice",AND(Xero_Raw!$I$7&lt;&gt;"Paid",Xero_Raw!$I$7&lt;&gt;"Void",Xero_Raw!$I$7&lt;&gt;"Draft")),Xero_Raw!$B$7,"")</f>
        <v/>
      </c>
      <c r="C11" s="58" t="str">
        <f aca="false">IF(AND(Xero_Raw!$C$7="Invoice",AND(Xero_Raw!$I$7&lt;&gt;"Paid",Xero_Raw!$I$7&lt;&gt;"Void",Xero_Raw!$I$7&lt;&gt;"Draft")),Xero_Raw!$D$7,"")</f>
        <v/>
      </c>
      <c r="D11" s="58" t="str">
        <f aca="false">IF(C11="","",IFERROR(VLOOKUP(C11,Assumptions!$G$5:$H$16,2,0),"Other"))</f>
        <v/>
      </c>
      <c r="E11" s="59" t="str">
        <f aca="false">IF(AND(Xero_Raw!$C$7="Invoice",AND(Xero_Raw!$I$7&lt;&gt;"Paid",Xero_Raw!$I$7&lt;&gt;"Void",Xero_Raw!$I$7&lt;&gt;"Draft")),Xero_Raw!$H$7,"")</f>
        <v/>
      </c>
      <c r="F11" s="58" t="str">
        <f aca="false">IF(AND(Xero_Raw!$C$7="Invoice",AND(Xero_Raw!$I$7&lt;&gt;"Paid",Xero_Raw!$I$7&lt;&gt;"Void",Xero_Raw!$I$7&lt;&gt;"Draft")),Xero_Raw!$I$7,"")</f>
        <v/>
      </c>
      <c r="G11" s="58" t="str">
        <f aca="false">IF(B11="","",MAX($C$4-B11,0))</f>
        <v/>
      </c>
      <c r="H11" s="34" t="str">
        <f aca="false">IF(G11="","",IF(G11&lt;=30,"0-30",IF(G11&lt;=60,"31-60",IF(G11&lt;=90,"61-90","90+"))))</f>
        <v/>
      </c>
    </row>
    <row r="12" customFormat="false" ht="15" hidden="false" customHeight="true" outlineLevel="0" collapsed="false">
      <c r="A12" s="57" t="n">
        <f aca="false">IF(AND(Xero_Raw!$C$8="Invoice",AND(Xero_Raw!$I$8&lt;&gt;"Paid",Xero_Raw!$I$8&lt;&gt;"Void",Xero_Raw!$I$8&lt;&gt;"Draft")),Xero_Raw!$A$8,"")</f>
        <v>46127</v>
      </c>
      <c r="B12" s="57" t="n">
        <f aca="false">IF(AND(Xero_Raw!$C$8="Invoice",AND(Xero_Raw!$I$8&lt;&gt;"Paid",Xero_Raw!$I$8&lt;&gt;"Void",Xero_Raw!$I$8&lt;&gt;"Draft")),Xero_Raw!$B$8,"")</f>
        <v>46157</v>
      </c>
      <c r="C12" s="58" t="str">
        <f aca="false">IF(AND(Xero_Raw!$C$8="Invoice",AND(Xero_Raw!$I$8&lt;&gt;"Paid",Xero_Raw!$I$8&lt;&gt;"Void",Xero_Raw!$I$8&lt;&gt;"Draft")),Xero_Raw!$D$8,"")</f>
        <v>Misfit Technologies Pte Ltd</v>
      </c>
      <c r="D12" s="58" t="str">
        <f aca="false">IF(C12="","",IFERROR(VLOOKUP(C12,Assumptions!$G$5:$H$16,2,0),"Other"))</f>
        <v>Singapore</v>
      </c>
      <c r="E12" s="59" t="n">
        <f aca="false">IF(AND(Xero_Raw!$C$8="Invoice",AND(Xero_Raw!$I$8&lt;&gt;"Paid",Xero_Raw!$I$8&lt;&gt;"Void",Xero_Raw!$I$8&lt;&gt;"Draft")),Xero_Raw!$H$8,"")</f>
        <v>52102.53</v>
      </c>
      <c r="F12" s="58" t="str">
        <f aca="false">IF(AND(Xero_Raw!$C$8="Invoice",AND(Xero_Raw!$I$8&lt;&gt;"Paid",Xero_Raw!$I$8&lt;&gt;"Void",Xero_Raw!$I$8&lt;&gt;"Draft")),Xero_Raw!$I$8,"")</f>
        <v>Unsent</v>
      </c>
      <c r="G12" s="58" t="n">
        <f aca="false">IF(B12="","",MAX($C$4-B12,0))</f>
        <v>46</v>
      </c>
      <c r="H12" s="34" t="str">
        <f aca="false">IF(G12="","",IF(G12&lt;=30,"0-30",IF(G12&lt;=60,"31-60",IF(G12&lt;=90,"61-90","90+"))))</f>
        <v>31-60</v>
      </c>
    </row>
    <row r="13" customFormat="false" ht="15" hidden="false" customHeight="true" outlineLevel="0" collapsed="false">
      <c r="A13" s="57" t="n">
        <f aca="false">IF(AND(Xero_Raw!$C$9="Invoice",AND(Xero_Raw!$I$9&lt;&gt;"Paid",Xero_Raw!$I$9&lt;&gt;"Void",Xero_Raw!$I$9&lt;&gt;"Draft")),Xero_Raw!$A$9,"")</f>
        <v>46116</v>
      </c>
      <c r="B13" s="57" t="n">
        <f aca="false">IF(AND(Xero_Raw!$C$9="Invoice",AND(Xero_Raw!$I$9&lt;&gt;"Paid",Xero_Raw!$I$9&lt;&gt;"Void",Xero_Raw!$I$9&lt;&gt;"Draft")),Xero_Raw!$B$9,"")</f>
        <v>46146</v>
      </c>
      <c r="C13" s="58" t="str">
        <f aca="false">IF(AND(Xero_Raw!$C$9="Invoice",AND(Xero_Raw!$I$9&lt;&gt;"Paid",Xero_Raw!$I$9&lt;&gt;"Void",Xero_Raw!$I$9&lt;&gt;"Draft")),Xero_Raw!$D$9,"")</f>
        <v>Almoudi Group Tabuk ST</v>
      </c>
      <c r="D13" s="58" t="str">
        <f aca="false">IF(C13="","",IFERROR(VLOOKUP(C13,Assumptions!$G$5:$H$16,2,0),"Other"))</f>
        <v>Saudi Arabia</v>
      </c>
      <c r="E13" s="59" t="n">
        <f aca="false">IF(AND(Xero_Raw!$C$9="Invoice",AND(Xero_Raw!$I$9&lt;&gt;"Paid",Xero_Raw!$I$9&lt;&gt;"Void",Xero_Raw!$I$9&lt;&gt;"Draft")),Xero_Raw!$H$9,"")</f>
        <v>5515.54</v>
      </c>
      <c r="F13" s="58" t="str">
        <f aca="false">IF(AND(Xero_Raw!$C$9="Invoice",AND(Xero_Raw!$I$9&lt;&gt;"Paid",Xero_Raw!$I$9&lt;&gt;"Void",Xero_Raw!$I$9&lt;&gt;"Draft")),Xero_Raw!$I$9,"")</f>
        <v>Unsent</v>
      </c>
      <c r="G13" s="58" t="n">
        <f aca="false">IF(B13="","",MAX($C$4-B13,0))</f>
        <v>57</v>
      </c>
      <c r="H13" s="34" t="str">
        <f aca="false">IF(G13="","",IF(G13&lt;=30,"0-30",IF(G13&lt;=60,"31-60",IF(G13&lt;=90,"61-90","90+"))))</f>
        <v>31-60</v>
      </c>
    </row>
    <row r="14" customFormat="false" ht="15" hidden="false" customHeight="true" outlineLevel="0" collapsed="false">
      <c r="A14" s="57" t="str">
        <f aca="false">IF(AND(Xero_Raw!$C$10="Invoice",AND(Xero_Raw!$I$10&lt;&gt;"Paid",Xero_Raw!$I$10&lt;&gt;"Void",Xero_Raw!$I$10&lt;&gt;"Draft")),Xero_Raw!$A$10,"")</f>
        <v/>
      </c>
      <c r="B14" s="57" t="str">
        <f aca="false">IF(AND(Xero_Raw!$C$10="Invoice",AND(Xero_Raw!$I$10&lt;&gt;"Paid",Xero_Raw!$I$10&lt;&gt;"Void",Xero_Raw!$I$10&lt;&gt;"Draft")),Xero_Raw!$B$10,"")</f>
        <v/>
      </c>
      <c r="C14" s="58" t="str">
        <f aca="false">IF(AND(Xero_Raw!$C$10="Invoice",AND(Xero_Raw!$I$10&lt;&gt;"Paid",Xero_Raw!$I$10&lt;&gt;"Void",Xero_Raw!$I$10&lt;&gt;"Draft")),Xero_Raw!$D$10,"")</f>
        <v/>
      </c>
      <c r="D14" s="58" t="str">
        <f aca="false">IF(C14="","",IFERROR(VLOOKUP(C14,Assumptions!$G$5:$H$16,2,0),"Other"))</f>
        <v/>
      </c>
      <c r="E14" s="59" t="str">
        <f aca="false">IF(AND(Xero_Raw!$C$10="Invoice",AND(Xero_Raw!$I$10&lt;&gt;"Paid",Xero_Raw!$I$10&lt;&gt;"Void",Xero_Raw!$I$10&lt;&gt;"Draft")),Xero_Raw!$H$10,"")</f>
        <v/>
      </c>
      <c r="F14" s="58" t="str">
        <f aca="false">IF(AND(Xero_Raw!$C$10="Invoice",AND(Xero_Raw!$I$10&lt;&gt;"Paid",Xero_Raw!$I$10&lt;&gt;"Void",Xero_Raw!$I$10&lt;&gt;"Draft")),Xero_Raw!$I$10,"")</f>
        <v/>
      </c>
      <c r="G14" s="58" t="str">
        <f aca="false">IF(B14="","",MAX($C$4-B14,0))</f>
        <v/>
      </c>
      <c r="H14" s="34" t="str">
        <f aca="false">IF(G14="","",IF(G14&lt;=30,"0-30",IF(G14&lt;=60,"31-60",IF(G14&lt;=90,"61-90","90+"))))</f>
        <v/>
      </c>
    </row>
    <row r="15" customFormat="false" ht="15" hidden="false" customHeight="true" outlineLevel="0" collapsed="false">
      <c r="A15" s="57" t="str">
        <f aca="false">IF(AND(Xero_Raw!$C$11="Invoice",AND(Xero_Raw!$I$11&lt;&gt;"Paid",Xero_Raw!$I$11&lt;&gt;"Void",Xero_Raw!$I$11&lt;&gt;"Draft")),Xero_Raw!$A$11,"")</f>
        <v/>
      </c>
      <c r="B15" s="57" t="str">
        <f aca="false">IF(AND(Xero_Raw!$C$11="Invoice",AND(Xero_Raw!$I$11&lt;&gt;"Paid",Xero_Raw!$I$11&lt;&gt;"Void",Xero_Raw!$I$11&lt;&gt;"Draft")),Xero_Raw!$B$11,"")</f>
        <v/>
      </c>
      <c r="C15" s="58" t="str">
        <f aca="false">IF(AND(Xero_Raw!$C$11="Invoice",AND(Xero_Raw!$I$11&lt;&gt;"Paid",Xero_Raw!$I$11&lt;&gt;"Void",Xero_Raw!$I$11&lt;&gt;"Draft")),Xero_Raw!$D$11,"")</f>
        <v/>
      </c>
      <c r="D15" s="58" t="str">
        <f aca="false">IF(C15="","",IFERROR(VLOOKUP(C15,Assumptions!$G$5:$H$16,2,0),"Other"))</f>
        <v/>
      </c>
      <c r="E15" s="59" t="str">
        <f aca="false">IF(AND(Xero_Raw!$C$11="Invoice",AND(Xero_Raw!$I$11&lt;&gt;"Paid",Xero_Raw!$I$11&lt;&gt;"Void",Xero_Raw!$I$11&lt;&gt;"Draft")),Xero_Raw!$H$11,"")</f>
        <v/>
      </c>
      <c r="F15" s="58" t="str">
        <f aca="false">IF(AND(Xero_Raw!$C$11="Invoice",AND(Xero_Raw!$I$11&lt;&gt;"Paid",Xero_Raw!$I$11&lt;&gt;"Void",Xero_Raw!$I$11&lt;&gt;"Draft")),Xero_Raw!$I$11,"")</f>
        <v/>
      </c>
      <c r="G15" s="58" t="str">
        <f aca="false">IF(B15="","",MAX($C$4-B15,0))</f>
        <v/>
      </c>
      <c r="H15" s="34" t="str">
        <f aca="false">IF(G15="","",IF(G15&lt;=30,"0-30",IF(G15&lt;=60,"31-60",IF(G15&lt;=90,"61-90","90+"))))</f>
        <v/>
      </c>
    </row>
    <row r="16" customFormat="false" ht="15" hidden="false" customHeight="true" outlineLevel="0" collapsed="false">
      <c r="A16" s="57" t="str">
        <f aca="false">IF(AND(Xero_Raw!$C$12="Invoice",AND(Xero_Raw!$I$12&lt;&gt;"Paid",Xero_Raw!$I$12&lt;&gt;"Void",Xero_Raw!$I$12&lt;&gt;"Draft")),Xero_Raw!$A$12,"")</f>
        <v/>
      </c>
      <c r="B16" s="57" t="str">
        <f aca="false">IF(AND(Xero_Raw!$C$12="Invoice",AND(Xero_Raw!$I$12&lt;&gt;"Paid",Xero_Raw!$I$12&lt;&gt;"Void",Xero_Raw!$I$12&lt;&gt;"Draft")),Xero_Raw!$B$12,"")</f>
        <v/>
      </c>
      <c r="C16" s="58" t="str">
        <f aca="false">IF(AND(Xero_Raw!$C$12="Invoice",AND(Xero_Raw!$I$12&lt;&gt;"Paid",Xero_Raw!$I$12&lt;&gt;"Void",Xero_Raw!$I$12&lt;&gt;"Draft")),Xero_Raw!$D$12,"")</f>
        <v/>
      </c>
      <c r="D16" s="58" t="str">
        <f aca="false">IF(C16="","",IFERROR(VLOOKUP(C16,Assumptions!$G$5:$H$16,2,0),"Other"))</f>
        <v/>
      </c>
      <c r="E16" s="59" t="str">
        <f aca="false">IF(AND(Xero_Raw!$C$12="Invoice",AND(Xero_Raw!$I$12&lt;&gt;"Paid",Xero_Raw!$I$12&lt;&gt;"Void",Xero_Raw!$I$12&lt;&gt;"Draft")),Xero_Raw!$H$12,"")</f>
        <v/>
      </c>
      <c r="F16" s="58" t="str">
        <f aca="false">IF(AND(Xero_Raw!$C$12="Invoice",AND(Xero_Raw!$I$12&lt;&gt;"Paid",Xero_Raw!$I$12&lt;&gt;"Void",Xero_Raw!$I$12&lt;&gt;"Draft")),Xero_Raw!$I$12,"")</f>
        <v/>
      </c>
      <c r="G16" s="58" t="str">
        <f aca="false">IF(B16="","",MAX($C$4-B16,0))</f>
        <v/>
      </c>
      <c r="H16" s="34" t="str">
        <f aca="false">IF(G16="","",IF(G16&lt;=30,"0-30",IF(G16&lt;=60,"31-60",IF(G16&lt;=90,"61-90","90+"))))</f>
        <v/>
      </c>
    </row>
    <row r="17" customFormat="false" ht="15" hidden="false" customHeight="true" outlineLevel="0" collapsed="false">
      <c r="A17" s="57" t="str">
        <f aca="false">IF(AND(Xero_Raw!$C$13="Invoice",AND(Xero_Raw!$I$13&lt;&gt;"Paid",Xero_Raw!$I$13&lt;&gt;"Void",Xero_Raw!$I$13&lt;&gt;"Draft")),Xero_Raw!$A$13,"")</f>
        <v/>
      </c>
      <c r="B17" s="57" t="str">
        <f aca="false">IF(AND(Xero_Raw!$C$13="Invoice",AND(Xero_Raw!$I$13&lt;&gt;"Paid",Xero_Raw!$I$13&lt;&gt;"Void",Xero_Raw!$I$13&lt;&gt;"Draft")),Xero_Raw!$B$13,"")</f>
        <v/>
      </c>
      <c r="C17" s="58" t="str">
        <f aca="false">IF(AND(Xero_Raw!$C$13="Invoice",AND(Xero_Raw!$I$13&lt;&gt;"Paid",Xero_Raw!$I$13&lt;&gt;"Void",Xero_Raw!$I$13&lt;&gt;"Draft")),Xero_Raw!$D$13,"")</f>
        <v/>
      </c>
      <c r="D17" s="58" t="str">
        <f aca="false">IF(C17="","",IFERROR(VLOOKUP(C17,Assumptions!$G$5:$H$16,2,0),"Other"))</f>
        <v/>
      </c>
      <c r="E17" s="59" t="str">
        <f aca="false">IF(AND(Xero_Raw!$C$13="Invoice",AND(Xero_Raw!$I$13&lt;&gt;"Paid",Xero_Raw!$I$13&lt;&gt;"Void",Xero_Raw!$I$13&lt;&gt;"Draft")),Xero_Raw!$H$13,"")</f>
        <v/>
      </c>
      <c r="F17" s="58" t="str">
        <f aca="false">IF(AND(Xero_Raw!$C$13="Invoice",AND(Xero_Raw!$I$13&lt;&gt;"Paid",Xero_Raw!$I$13&lt;&gt;"Void",Xero_Raw!$I$13&lt;&gt;"Draft")),Xero_Raw!$I$13,"")</f>
        <v/>
      </c>
      <c r="G17" s="58" t="str">
        <f aca="false">IF(B17="","",MAX($C$4-B17,0))</f>
        <v/>
      </c>
      <c r="H17" s="34" t="str">
        <f aca="false">IF(G17="","",IF(G17&lt;=30,"0-30",IF(G17&lt;=60,"31-60",IF(G17&lt;=90,"61-90","90+"))))</f>
        <v/>
      </c>
    </row>
    <row r="18" customFormat="false" ht="15" hidden="false" customHeight="true" outlineLevel="0" collapsed="false">
      <c r="A18" s="57" t="str">
        <f aca="false">IF(AND(Xero_Raw!$C$14="Invoice",AND(Xero_Raw!$I$14&lt;&gt;"Paid",Xero_Raw!$I$14&lt;&gt;"Void",Xero_Raw!$I$14&lt;&gt;"Draft")),Xero_Raw!$A$14,"")</f>
        <v/>
      </c>
      <c r="B18" s="57" t="str">
        <f aca="false">IF(AND(Xero_Raw!$C$14="Invoice",AND(Xero_Raw!$I$14&lt;&gt;"Paid",Xero_Raw!$I$14&lt;&gt;"Void",Xero_Raw!$I$14&lt;&gt;"Draft")),Xero_Raw!$B$14,"")</f>
        <v/>
      </c>
      <c r="C18" s="58" t="str">
        <f aca="false">IF(AND(Xero_Raw!$C$14="Invoice",AND(Xero_Raw!$I$14&lt;&gt;"Paid",Xero_Raw!$I$14&lt;&gt;"Void",Xero_Raw!$I$14&lt;&gt;"Draft")),Xero_Raw!$D$14,"")</f>
        <v/>
      </c>
      <c r="D18" s="58" t="str">
        <f aca="false">IF(C18="","",IFERROR(VLOOKUP(C18,Assumptions!$G$5:$H$16,2,0),"Other"))</f>
        <v/>
      </c>
      <c r="E18" s="59" t="str">
        <f aca="false">IF(AND(Xero_Raw!$C$14="Invoice",AND(Xero_Raw!$I$14&lt;&gt;"Paid",Xero_Raw!$I$14&lt;&gt;"Void",Xero_Raw!$I$14&lt;&gt;"Draft")),Xero_Raw!$H$14,"")</f>
        <v/>
      </c>
      <c r="F18" s="58" t="str">
        <f aca="false">IF(AND(Xero_Raw!$C$14="Invoice",AND(Xero_Raw!$I$14&lt;&gt;"Paid",Xero_Raw!$I$14&lt;&gt;"Void",Xero_Raw!$I$14&lt;&gt;"Draft")),Xero_Raw!$I$14,"")</f>
        <v/>
      </c>
      <c r="G18" s="58" t="str">
        <f aca="false">IF(B18="","",MAX($C$4-B18,0))</f>
        <v/>
      </c>
      <c r="H18" s="34" t="str">
        <f aca="false">IF(G18="","",IF(G18&lt;=30,"0-30",IF(G18&lt;=60,"31-60",IF(G18&lt;=90,"61-90","90+"))))</f>
        <v/>
      </c>
    </row>
    <row r="19" customFormat="false" ht="15" hidden="false" customHeight="true" outlineLevel="0" collapsed="false">
      <c r="A19" s="57" t="str">
        <f aca="false">IF(AND(Xero_Raw!$C$15="Invoice",AND(Xero_Raw!$I$15&lt;&gt;"Paid",Xero_Raw!$I$15&lt;&gt;"Void",Xero_Raw!$I$15&lt;&gt;"Draft")),Xero_Raw!$A$15,"")</f>
        <v/>
      </c>
      <c r="B19" s="57" t="str">
        <f aca="false">IF(AND(Xero_Raw!$C$15="Invoice",AND(Xero_Raw!$I$15&lt;&gt;"Paid",Xero_Raw!$I$15&lt;&gt;"Void",Xero_Raw!$I$15&lt;&gt;"Draft")),Xero_Raw!$B$15,"")</f>
        <v/>
      </c>
      <c r="C19" s="58" t="str">
        <f aca="false">IF(AND(Xero_Raw!$C$15="Invoice",AND(Xero_Raw!$I$15&lt;&gt;"Paid",Xero_Raw!$I$15&lt;&gt;"Void",Xero_Raw!$I$15&lt;&gt;"Draft")),Xero_Raw!$D$15,"")</f>
        <v/>
      </c>
      <c r="D19" s="58" t="str">
        <f aca="false">IF(C19="","",IFERROR(VLOOKUP(C19,Assumptions!$G$5:$H$16,2,0),"Other"))</f>
        <v/>
      </c>
      <c r="E19" s="59" t="str">
        <f aca="false">IF(AND(Xero_Raw!$C$15="Invoice",AND(Xero_Raw!$I$15&lt;&gt;"Paid",Xero_Raw!$I$15&lt;&gt;"Void",Xero_Raw!$I$15&lt;&gt;"Draft")),Xero_Raw!$H$15,"")</f>
        <v/>
      </c>
      <c r="F19" s="58" t="str">
        <f aca="false">IF(AND(Xero_Raw!$C$15="Invoice",AND(Xero_Raw!$I$15&lt;&gt;"Paid",Xero_Raw!$I$15&lt;&gt;"Void",Xero_Raw!$I$15&lt;&gt;"Draft")),Xero_Raw!$I$15,"")</f>
        <v/>
      </c>
      <c r="G19" s="58" t="str">
        <f aca="false">IF(B19="","",MAX($C$4-B19,0))</f>
        <v/>
      </c>
      <c r="H19" s="34" t="str">
        <f aca="false">IF(G19="","",IF(G19&lt;=30,"0-30",IF(G19&lt;=60,"31-60",IF(G19&lt;=90,"61-90","90+"))))</f>
        <v/>
      </c>
    </row>
    <row r="20" customFormat="false" ht="15" hidden="false" customHeight="true" outlineLevel="0" collapsed="false">
      <c r="A20" s="57" t="str">
        <f aca="false">IF(AND(Xero_Raw!$C$16="Invoice",AND(Xero_Raw!$I$16&lt;&gt;"Paid",Xero_Raw!$I$16&lt;&gt;"Void",Xero_Raw!$I$16&lt;&gt;"Draft")),Xero_Raw!$A$16,"")</f>
        <v/>
      </c>
      <c r="B20" s="57" t="str">
        <f aca="false">IF(AND(Xero_Raw!$C$16="Invoice",AND(Xero_Raw!$I$16&lt;&gt;"Paid",Xero_Raw!$I$16&lt;&gt;"Void",Xero_Raw!$I$16&lt;&gt;"Draft")),Xero_Raw!$B$16,"")</f>
        <v/>
      </c>
      <c r="C20" s="58" t="str">
        <f aca="false">IF(AND(Xero_Raw!$C$16="Invoice",AND(Xero_Raw!$I$16&lt;&gt;"Paid",Xero_Raw!$I$16&lt;&gt;"Void",Xero_Raw!$I$16&lt;&gt;"Draft")),Xero_Raw!$D$16,"")</f>
        <v/>
      </c>
      <c r="D20" s="58" t="str">
        <f aca="false">IF(C20="","",IFERROR(VLOOKUP(C20,Assumptions!$G$5:$H$16,2,0),"Other"))</f>
        <v/>
      </c>
      <c r="E20" s="59" t="str">
        <f aca="false">IF(AND(Xero_Raw!$C$16="Invoice",AND(Xero_Raw!$I$16&lt;&gt;"Paid",Xero_Raw!$I$16&lt;&gt;"Void",Xero_Raw!$I$16&lt;&gt;"Draft")),Xero_Raw!$H$16,"")</f>
        <v/>
      </c>
      <c r="F20" s="58" t="str">
        <f aca="false">IF(AND(Xero_Raw!$C$16="Invoice",AND(Xero_Raw!$I$16&lt;&gt;"Paid",Xero_Raw!$I$16&lt;&gt;"Void",Xero_Raw!$I$16&lt;&gt;"Draft")),Xero_Raw!$I$16,"")</f>
        <v/>
      </c>
      <c r="G20" s="58" t="str">
        <f aca="false">IF(B20="","",MAX($C$4-B20,0))</f>
        <v/>
      </c>
      <c r="H20" s="34" t="str">
        <f aca="false">IF(G20="","",IF(G20&lt;=30,"0-30",IF(G20&lt;=60,"31-60",IF(G20&lt;=90,"61-90","90+"))))</f>
        <v/>
      </c>
    </row>
    <row r="21" customFormat="false" ht="15" hidden="false" customHeight="true" outlineLevel="0" collapsed="false">
      <c r="A21" s="57" t="str">
        <f aca="false">IF(AND(Xero_Raw!$C$17="Invoice",AND(Xero_Raw!$I$17&lt;&gt;"Paid",Xero_Raw!$I$17&lt;&gt;"Void",Xero_Raw!$I$17&lt;&gt;"Draft")),Xero_Raw!$A$17,"")</f>
        <v/>
      </c>
      <c r="B21" s="57" t="str">
        <f aca="false">IF(AND(Xero_Raw!$C$17="Invoice",AND(Xero_Raw!$I$17&lt;&gt;"Paid",Xero_Raw!$I$17&lt;&gt;"Void",Xero_Raw!$I$17&lt;&gt;"Draft")),Xero_Raw!$B$17,"")</f>
        <v/>
      </c>
      <c r="C21" s="58" t="str">
        <f aca="false">IF(AND(Xero_Raw!$C$17="Invoice",AND(Xero_Raw!$I$17&lt;&gt;"Paid",Xero_Raw!$I$17&lt;&gt;"Void",Xero_Raw!$I$17&lt;&gt;"Draft")),Xero_Raw!$D$17,"")</f>
        <v/>
      </c>
      <c r="D21" s="58" t="str">
        <f aca="false">IF(C21="","",IFERROR(VLOOKUP(C21,Assumptions!$G$5:$H$16,2,0),"Other"))</f>
        <v/>
      </c>
      <c r="E21" s="59" t="str">
        <f aca="false">IF(AND(Xero_Raw!$C$17="Invoice",AND(Xero_Raw!$I$17&lt;&gt;"Paid",Xero_Raw!$I$17&lt;&gt;"Void",Xero_Raw!$I$17&lt;&gt;"Draft")),Xero_Raw!$H$17,"")</f>
        <v/>
      </c>
      <c r="F21" s="58" t="str">
        <f aca="false">IF(AND(Xero_Raw!$C$17="Invoice",AND(Xero_Raw!$I$17&lt;&gt;"Paid",Xero_Raw!$I$17&lt;&gt;"Void",Xero_Raw!$I$17&lt;&gt;"Draft")),Xero_Raw!$I$17,"")</f>
        <v/>
      </c>
      <c r="G21" s="58" t="str">
        <f aca="false">IF(B21="","",MAX($C$4-B21,0))</f>
        <v/>
      </c>
      <c r="H21" s="34" t="str">
        <f aca="false">IF(G21="","",IF(G21&lt;=30,"0-30",IF(G21&lt;=60,"31-60",IF(G21&lt;=90,"61-90","90+"))))</f>
        <v/>
      </c>
    </row>
    <row r="22" customFormat="false" ht="15" hidden="false" customHeight="true" outlineLevel="0" collapsed="false">
      <c r="A22" s="57" t="n">
        <f aca="false">IF(AND(Xero_Raw!$C$18="Invoice",AND(Xero_Raw!$I$18&lt;&gt;"Paid",Xero_Raw!$I$18&lt;&gt;"Void",Xero_Raw!$I$18&lt;&gt;"Draft")),Xero_Raw!$A$18,"")</f>
        <v>46156</v>
      </c>
      <c r="B22" s="57" t="n">
        <f aca="false">IF(AND(Xero_Raw!$C$18="Invoice",AND(Xero_Raw!$I$18&lt;&gt;"Paid",Xero_Raw!$I$18&lt;&gt;"Void",Xero_Raw!$I$18&lt;&gt;"Draft")),Xero_Raw!$B$18,"")</f>
        <v>46186</v>
      </c>
      <c r="C22" s="58" t="str">
        <f aca="false">IF(AND(Xero_Raw!$C$18="Invoice",AND(Xero_Raw!$I$18&lt;&gt;"Paid",Xero_Raw!$I$18&lt;&gt;"Void",Xero_Raw!$I$18&lt;&gt;"Draft")),Xero_Raw!$D$18,"")</f>
        <v>Curahealth K.S.C.C.</v>
      </c>
      <c r="D22" s="58" t="str">
        <f aca="false">IF(C22="","",IFERROR(VLOOKUP(C22,Assumptions!$G$5:$H$16,2,0),"Other"))</f>
        <v>Kuwait</v>
      </c>
      <c r="E22" s="59" t="n">
        <f aca="false">IF(AND(Xero_Raw!$C$18="Invoice",AND(Xero_Raw!$I$18&lt;&gt;"Paid",Xero_Raw!$I$18&lt;&gt;"Void",Xero_Raw!$I$18&lt;&gt;"Draft")),Xero_Raw!$H$18,"")</f>
        <v>42402.31</v>
      </c>
      <c r="F22" s="58" t="str">
        <f aca="false">IF(AND(Xero_Raw!$C$18="Invoice",AND(Xero_Raw!$I$18&lt;&gt;"Paid",Xero_Raw!$I$18&lt;&gt;"Void",Xero_Raw!$I$18&lt;&gt;"Draft")),Xero_Raw!$I$18,"")</f>
        <v>Awaiting Payment</v>
      </c>
      <c r="G22" s="58" t="n">
        <f aca="false">IF(B22="","",MAX($C$4-B22,0))</f>
        <v>17</v>
      </c>
      <c r="H22" s="34" t="str">
        <f aca="false">IF(G22="","",IF(G22&lt;=30,"0-30",IF(G22&lt;=60,"31-60",IF(G22&lt;=90,"61-90","90+"))))</f>
        <v>0-30</v>
      </c>
    </row>
    <row r="23" customFormat="false" ht="15" hidden="false" customHeight="true" outlineLevel="0" collapsed="false">
      <c r="A23" s="57" t="str">
        <f aca="false">IF(AND(Xero_Raw!$C$19="Invoice",AND(Xero_Raw!$I$19&lt;&gt;"Paid",Xero_Raw!$I$19&lt;&gt;"Void",Xero_Raw!$I$19&lt;&gt;"Draft")),Xero_Raw!$A$19,"")</f>
        <v/>
      </c>
      <c r="B23" s="57" t="str">
        <f aca="false">IF(AND(Xero_Raw!$C$19="Invoice",AND(Xero_Raw!$I$19&lt;&gt;"Paid",Xero_Raw!$I$19&lt;&gt;"Void",Xero_Raw!$I$19&lt;&gt;"Draft")),Xero_Raw!$B$19,"")</f>
        <v/>
      </c>
      <c r="C23" s="58" t="str">
        <f aca="false">IF(AND(Xero_Raw!$C$19="Invoice",AND(Xero_Raw!$I$19&lt;&gt;"Paid",Xero_Raw!$I$19&lt;&gt;"Void",Xero_Raw!$I$19&lt;&gt;"Draft")),Xero_Raw!$D$19,"")</f>
        <v/>
      </c>
      <c r="D23" s="58" t="str">
        <f aca="false">IF(C23="","",IFERROR(VLOOKUP(C23,Assumptions!$G$5:$H$16,2,0),"Other"))</f>
        <v/>
      </c>
      <c r="E23" s="59" t="str">
        <f aca="false">IF(AND(Xero_Raw!$C$19="Invoice",AND(Xero_Raw!$I$19&lt;&gt;"Paid",Xero_Raw!$I$19&lt;&gt;"Void",Xero_Raw!$I$19&lt;&gt;"Draft")),Xero_Raw!$H$19,"")</f>
        <v/>
      </c>
      <c r="F23" s="58" t="str">
        <f aca="false">IF(AND(Xero_Raw!$C$19="Invoice",AND(Xero_Raw!$I$19&lt;&gt;"Paid",Xero_Raw!$I$19&lt;&gt;"Void",Xero_Raw!$I$19&lt;&gt;"Draft")),Xero_Raw!$I$19,"")</f>
        <v/>
      </c>
      <c r="G23" s="58" t="str">
        <f aca="false">IF(B23="","",MAX($C$4-B23,0))</f>
        <v/>
      </c>
      <c r="H23" s="34" t="str">
        <f aca="false">IF(G23="","",IF(G23&lt;=30,"0-30",IF(G23&lt;=60,"31-60",IF(G23&lt;=90,"61-90","90+"))))</f>
        <v/>
      </c>
    </row>
    <row r="24" customFormat="false" ht="15" hidden="false" customHeight="true" outlineLevel="0" collapsed="false">
      <c r="A24" s="57" t="str">
        <f aca="false">IF(AND(Xero_Raw!$C$20="Invoice",AND(Xero_Raw!$I$20&lt;&gt;"Paid",Xero_Raw!$I$20&lt;&gt;"Void",Xero_Raw!$I$20&lt;&gt;"Draft")),Xero_Raw!$A$20,"")</f>
        <v/>
      </c>
      <c r="B24" s="57" t="str">
        <f aca="false">IF(AND(Xero_Raw!$C$20="Invoice",AND(Xero_Raw!$I$20&lt;&gt;"Paid",Xero_Raw!$I$20&lt;&gt;"Void",Xero_Raw!$I$20&lt;&gt;"Draft")),Xero_Raw!$B$20,"")</f>
        <v/>
      </c>
      <c r="C24" s="58" t="str">
        <f aca="false">IF(AND(Xero_Raw!$C$20="Invoice",AND(Xero_Raw!$I$20&lt;&gt;"Paid",Xero_Raw!$I$20&lt;&gt;"Void",Xero_Raw!$I$20&lt;&gt;"Draft")),Xero_Raw!$D$20,"")</f>
        <v/>
      </c>
      <c r="D24" s="58" t="str">
        <f aca="false">IF(C24="","",IFERROR(VLOOKUP(C24,Assumptions!$G$5:$H$16,2,0),"Other"))</f>
        <v/>
      </c>
      <c r="E24" s="59" t="str">
        <f aca="false">IF(AND(Xero_Raw!$C$20="Invoice",AND(Xero_Raw!$I$20&lt;&gt;"Paid",Xero_Raw!$I$20&lt;&gt;"Void",Xero_Raw!$I$20&lt;&gt;"Draft")),Xero_Raw!$H$20,"")</f>
        <v/>
      </c>
      <c r="F24" s="58" t="str">
        <f aca="false">IF(AND(Xero_Raw!$C$20="Invoice",AND(Xero_Raw!$I$20&lt;&gt;"Paid",Xero_Raw!$I$20&lt;&gt;"Void",Xero_Raw!$I$20&lt;&gt;"Draft")),Xero_Raw!$I$20,"")</f>
        <v/>
      </c>
      <c r="G24" s="58" t="str">
        <f aca="false">IF(B24="","",MAX($C$4-B24,0))</f>
        <v/>
      </c>
      <c r="H24" s="34" t="str">
        <f aca="false">IF(G24="","",IF(G24&lt;=30,"0-30",IF(G24&lt;=60,"31-60",IF(G24&lt;=90,"61-90","90+"))))</f>
        <v/>
      </c>
    </row>
    <row r="25" customFormat="false" ht="15" hidden="false" customHeight="true" outlineLevel="0" collapsed="false">
      <c r="A25" s="57" t="n">
        <f aca="false">IF(AND(Xero_Raw!$C$21="Invoice",AND(Xero_Raw!$I$21&lt;&gt;"Paid",Xero_Raw!$I$21&lt;&gt;"Void",Xero_Raw!$I$21&lt;&gt;"Draft")),Xero_Raw!$A$21,"")</f>
        <v>46158</v>
      </c>
      <c r="B25" s="57" t="n">
        <f aca="false">IF(AND(Xero_Raw!$C$21="Invoice",AND(Xero_Raw!$I$21&lt;&gt;"Paid",Xero_Raw!$I$21&lt;&gt;"Void",Xero_Raw!$I$21&lt;&gt;"Draft")),Xero_Raw!$B$21,"")</f>
        <v>46188</v>
      </c>
      <c r="C25" s="58" t="str">
        <f aca="false">IF(AND(Xero_Raw!$C$21="Invoice",AND(Xero_Raw!$I$21&lt;&gt;"Paid",Xero_Raw!$I$21&lt;&gt;"Void",Xero_Raw!$I$21&lt;&gt;"Draft")),Xero_Raw!$D$21,"")</f>
        <v>Al Fardan Exchange - Sole Proprietorship L.L.C</v>
      </c>
      <c r="D25" s="58" t="str">
        <f aca="false">IF(C25="","",IFERROR(VLOOKUP(C25,Assumptions!$G$5:$H$16,2,0),"Other"))</f>
        <v>UAE</v>
      </c>
      <c r="E25" s="59" t="n">
        <f aca="false">IF(AND(Xero_Raw!$C$21="Invoice",AND(Xero_Raw!$I$21&lt;&gt;"Paid",Xero_Raw!$I$21&lt;&gt;"Void",Xero_Raw!$I$21&lt;&gt;"Draft")),Xero_Raw!$H$21,"")</f>
        <v>31165.32</v>
      </c>
      <c r="F25" s="58" t="str">
        <f aca="false">IF(AND(Xero_Raw!$C$21="Invoice",AND(Xero_Raw!$I$21&lt;&gt;"Paid",Xero_Raw!$I$21&lt;&gt;"Void",Xero_Raw!$I$21&lt;&gt;"Draft")),Xero_Raw!$I$21,"")</f>
        <v>Overdue</v>
      </c>
      <c r="G25" s="58" t="n">
        <f aca="false">IF(B25="","",MAX($C$4-B25,0))</f>
        <v>15</v>
      </c>
      <c r="H25" s="34" t="str">
        <f aca="false">IF(G25="","",IF(G25&lt;=30,"0-30",IF(G25&lt;=60,"31-60",IF(G25&lt;=90,"61-90","90+"))))</f>
        <v>0-30</v>
      </c>
    </row>
    <row r="26" customFormat="false" ht="15" hidden="false" customHeight="true" outlineLevel="0" collapsed="false">
      <c r="A26" s="57" t="str">
        <f aca="false">IF(AND(Xero_Raw!$C$22="Invoice",AND(Xero_Raw!$I$22&lt;&gt;"Paid",Xero_Raw!$I$22&lt;&gt;"Void",Xero_Raw!$I$22&lt;&gt;"Draft")),Xero_Raw!$A$22,"")</f>
        <v/>
      </c>
      <c r="B26" s="57" t="str">
        <f aca="false">IF(AND(Xero_Raw!$C$22="Invoice",AND(Xero_Raw!$I$22&lt;&gt;"Paid",Xero_Raw!$I$22&lt;&gt;"Void",Xero_Raw!$I$22&lt;&gt;"Draft")),Xero_Raw!$B$22,"")</f>
        <v/>
      </c>
      <c r="C26" s="58" t="str">
        <f aca="false">IF(AND(Xero_Raw!$C$22="Invoice",AND(Xero_Raw!$I$22&lt;&gt;"Paid",Xero_Raw!$I$22&lt;&gt;"Void",Xero_Raw!$I$22&lt;&gt;"Draft")),Xero_Raw!$D$22,"")</f>
        <v/>
      </c>
      <c r="D26" s="58" t="str">
        <f aca="false">IF(C26="","",IFERROR(VLOOKUP(C26,Assumptions!$G$5:$H$16,2,0),"Other"))</f>
        <v/>
      </c>
      <c r="E26" s="59" t="str">
        <f aca="false">IF(AND(Xero_Raw!$C$22="Invoice",AND(Xero_Raw!$I$22&lt;&gt;"Paid",Xero_Raw!$I$22&lt;&gt;"Void",Xero_Raw!$I$22&lt;&gt;"Draft")),Xero_Raw!$H$22,"")</f>
        <v/>
      </c>
      <c r="F26" s="58" t="str">
        <f aca="false">IF(AND(Xero_Raw!$C$22="Invoice",AND(Xero_Raw!$I$22&lt;&gt;"Paid",Xero_Raw!$I$22&lt;&gt;"Void",Xero_Raw!$I$22&lt;&gt;"Draft")),Xero_Raw!$I$22,"")</f>
        <v/>
      </c>
      <c r="G26" s="58" t="str">
        <f aca="false">IF(B26="","",MAX($C$4-B26,0))</f>
        <v/>
      </c>
      <c r="H26" s="34" t="str">
        <f aca="false">IF(G26="","",IF(G26&lt;=30,"0-30",IF(G26&lt;=60,"31-60",IF(G26&lt;=90,"61-90","90+"))))</f>
        <v/>
      </c>
    </row>
    <row r="27" customFormat="false" ht="15" hidden="false" customHeight="true" outlineLevel="0" collapsed="false">
      <c r="A27" s="57" t="n">
        <f aca="false">IF(AND(Xero_Raw!$C$23="Invoice",AND(Xero_Raw!$I$23&lt;&gt;"Paid",Xero_Raw!$I$23&lt;&gt;"Void",Xero_Raw!$I$23&lt;&gt;"Draft")),Xero_Raw!$A$23,"")</f>
        <v>46150</v>
      </c>
      <c r="B27" s="57" t="n">
        <f aca="false">IF(AND(Xero_Raw!$C$23="Invoice",AND(Xero_Raw!$I$23&lt;&gt;"Paid",Xero_Raw!$I$23&lt;&gt;"Void",Xero_Raw!$I$23&lt;&gt;"Draft")),Xero_Raw!$B$23,"")</f>
        <v>46180</v>
      </c>
      <c r="C27" s="58" t="str">
        <f aca="false">IF(AND(Xero_Raw!$C$23="Invoice",AND(Xero_Raw!$I$23&lt;&gt;"Paid",Xero_Raw!$I$23&lt;&gt;"Void",Xero_Raw!$I$23&lt;&gt;"Draft")),Xero_Raw!$D$23,"")</f>
        <v>Nishat Linen UAE</v>
      </c>
      <c r="D27" s="58" t="str">
        <f aca="false">IF(C27="","",IFERROR(VLOOKUP(C27,Assumptions!$G$5:$H$16,2,0),"Other"))</f>
        <v>UAE</v>
      </c>
      <c r="E27" s="59" t="n">
        <f aca="false">IF(AND(Xero_Raw!$C$23="Invoice",AND(Xero_Raw!$I$23&lt;&gt;"Paid",Xero_Raw!$I$23&lt;&gt;"Void",Xero_Raw!$I$23&lt;&gt;"Draft")),Xero_Raw!$H$23,"")</f>
        <v>25418.98</v>
      </c>
      <c r="F27" s="58" t="str">
        <f aca="false">IF(AND(Xero_Raw!$C$23="Invoice",AND(Xero_Raw!$I$23&lt;&gt;"Paid",Xero_Raw!$I$23&lt;&gt;"Void",Xero_Raw!$I$23&lt;&gt;"Draft")),Xero_Raw!$I$23,"")</f>
        <v>Overdue</v>
      </c>
      <c r="G27" s="58" t="n">
        <f aca="false">IF(B27="","",MAX($C$4-B27,0))</f>
        <v>23</v>
      </c>
      <c r="H27" s="34" t="str">
        <f aca="false">IF(G27="","",IF(G27&lt;=30,"0-30",IF(G27&lt;=60,"31-60",IF(G27&lt;=90,"61-90","90+"))))</f>
        <v>0-30</v>
      </c>
    </row>
    <row r="28" customFormat="false" ht="15" hidden="false" customHeight="true" outlineLevel="0" collapsed="false">
      <c r="A28" s="57" t="n">
        <f aca="false">IF(AND(Xero_Raw!$C$24="Invoice",AND(Xero_Raw!$I$24&lt;&gt;"Paid",Xero_Raw!$I$24&lt;&gt;"Void",Xero_Raw!$I$24&lt;&gt;"Draft")),Xero_Raw!$A$24,"")</f>
        <v>46161</v>
      </c>
      <c r="B28" s="57" t="n">
        <f aca="false">IF(AND(Xero_Raw!$C$24="Invoice",AND(Xero_Raw!$I$24&lt;&gt;"Paid",Xero_Raw!$I$24&lt;&gt;"Void",Xero_Raw!$I$24&lt;&gt;"Draft")),Xero_Raw!$B$24,"")</f>
        <v>46191</v>
      </c>
      <c r="C28" s="58" t="str">
        <f aca="false">IF(AND(Xero_Raw!$C$24="Invoice",AND(Xero_Raw!$I$24&lt;&gt;"Paid",Xero_Raw!$I$24&lt;&gt;"Void",Xero_Raw!$I$24&lt;&gt;"Draft")),Xero_Raw!$D$24,"")</f>
        <v>Nishat Linen UAE</v>
      </c>
      <c r="D28" s="58" t="str">
        <f aca="false">IF(C28="","",IFERROR(VLOOKUP(C28,Assumptions!$G$5:$H$16,2,0),"Other"))</f>
        <v>UAE</v>
      </c>
      <c r="E28" s="59" t="n">
        <f aca="false">IF(AND(Xero_Raw!$C$24="Invoice",AND(Xero_Raw!$I$24&lt;&gt;"Paid",Xero_Raw!$I$24&lt;&gt;"Void",Xero_Raw!$I$24&lt;&gt;"Draft")),Xero_Raw!$H$24,"")</f>
        <v>36482.11</v>
      </c>
      <c r="F28" s="58" t="str">
        <f aca="false">IF(AND(Xero_Raw!$C$24="Invoice",AND(Xero_Raw!$I$24&lt;&gt;"Paid",Xero_Raw!$I$24&lt;&gt;"Void",Xero_Raw!$I$24&lt;&gt;"Draft")),Xero_Raw!$I$24,"")</f>
        <v>Awaiting Payment</v>
      </c>
      <c r="G28" s="58" t="n">
        <f aca="false">IF(B28="","",MAX($C$4-B28,0))</f>
        <v>12</v>
      </c>
      <c r="H28" s="34" t="str">
        <f aca="false">IF(G28="","",IF(G28&lt;=30,"0-30",IF(G28&lt;=60,"31-60",IF(G28&lt;=90,"61-90","90+"))))</f>
        <v>0-30</v>
      </c>
    </row>
    <row r="29" customFormat="false" ht="15" hidden="false" customHeight="true" outlineLevel="0" collapsed="false">
      <c r="A29" s="57" t="str">
        <f aca="false">IF(AND(Xero_Raw!$C$25="Invoice",AND(Xero_Raw!$I$25&lt;&gt;"Paid",Xero_Raw!$I$25&lt;&gt;"Void",Xero_Raw!$I$25&lt;&gt;"Draft")),Xero_Raw!$A$25,"")</f>
        <v/>
      </c>
      <c r="B29" s="57" t="str">
        <f aca="false">IF(AND(Xero_Raw!$C$25="Invoice",AND(Xero_Raw!$I$25&lt;&gt;"Paid",Xero_Raw!$I$25&lt;&gt;"Void",Xero_Raw!$I$25&lt;&gt;"Draft")),Xero_Raw!$B$25,"")</f>
        <v/>
      </c>
      <c r="C29" s="58" t="str">
        <f aca="false">IF(AND(Xero_Raw!$C$25="Invoice",AND(Xero_Raw!$I$25&lt;&gt;"Paid",Xero_Raw!$I$25&lt;&gt;"Void",Xero_Raw!$I$25&lt;&gt;"Draft")),Xero_Raw!$D$25,"")</f>
        <v/>
      </c>
      <c r="D29" s="58" t="str">
        <f aca="false">IF(C29="","",IFERROR(VLOOKUP(C29,Assumptions!$G$5:$H$16,2,0),"Other"))</f>
        <v/>
      </c>
      <c r="E29" s="59" t="str">
        <f aca="false">IF(AND(Xero_Raw!$C$25="Invoice",AND(Xero_Raw!$I$25&lt;&gt;"Paid",Xero_Raw!$I$25&lt;&gt;"Void",Xero_Raw!$I$25&lt;&gt;"Draft")),Xero_Raw!$H$25,"")</f>
        <v/>
      </c>
      <c r="F29" s="58" t="str">
        <f aca="false">IF(AND(Xero_Raw!$C$25="Invoice",AND(Xero_Raw!$I$25&lt;&gt;"Paid",Xero_Raw!$I$25&lt;&gt;"Void",Xero_Raw!$I$25&lt;&gt;"Draft")),Xero_Raw!$I$25,"")</f>
        <v/>
      </c>
      <c r="G29" s="58" t="str">
        <f aca="false">IF(B29="","",MAX($C$4-B29,0))</f>
        <v/>
      </c>
      <c r="H29" s="34" t="str">
        <f aca="false">IF(G29="","",IF(G29&lt;=30,"0-30",IF(G29&lt;=60,"31-60",IF(G29&lt;=90,"61-90","90+"))))</f>
        <v/>
      </c>
    </row>
    <row r="30" customFormat="false" ht="15" hidden="false" customHeight="true" outlineLevel="0" collapsed="false">
      <c r="A30" s="57" t="str">
        <f aca="false">IF(AND(Xero_Raw!$C$26="Invoice",AND(Xero_Raw!$I$26&lt;&gt;"Paid",Xero_Raw!$I$26&lt;&gt;"Void",Xero_Raw!$I$26&lt;&gt;"Draft")),Xero_Raw!$A$26,"")</f>
        <v/>
      </c>
      <c r="B30" s="57" t="str">
        <f aca="false">IF(AND(Xero_Raw!$C$26="Invoice",AND(Xero_Raw!$I$26&lt;&gt;"Paid",Xero_Raw!$I$26&lt;&gt;"Void",Xero_Raw!$I$26&lt;&gt;"Draft")),Xero_Raw!$B$26,"")</f>
        <v/>
      </c>
      <c r="C30" s="58" t="str">
        <f aca="false">IF(AND(Xero_Raw!$C$26="Invoice",AND(Xero_Raw!$I$26&lt;&gt;"Paid",Xero_Raw!$I$26&lt;&gt;"Void",Xero_Raw!$I$26&lt;&gt;"Draft")),Xero_Raw!$D$26,"")</f>
        <v/>
      </c>
      <c r="D30" s="58" t="str">
        <f aca="false">IF(C30="","",IFERROR(VLOOKUP(C30,Assumptions!$G$5:$H$16,2,0),"Other"))</f>
        <v/>
      </c>
      <c r="E30" s="59" t="str">
        <f aca="false">IF(AND(Xero_Raw!$C$26="Invoice",AND(Xero_Raw!$I$26&lt;&gt;"Paid",Xero_Raw!$I$26&lt;&gt;"Void",Xero_Raw!$I$26&lt;&gt;"Draft")),Xero_Raw!$H$26,"")</f>
        <v/>
      </c>
      <c r="F30" s="58" t="str">
        <f aca="false">IF(AND(Xero_Raw!$C$26="Invoice",AND(Xero_Raw!$I$26&lt;&gt;"Paid",Xero_Raw!$I$26&lt;&gt;"Void",Xero_Raw!$I$26&lt;&gt;"Draft")),Xero_Raw!$I$26,"")</f>
        <v/>
      </c>
      <c r="G30" s="58" t="str">
        <f aca="false">IF(B30="","",MAX($C$4-B30,0))</f>
        <v/>
      </c>
      <c r="H30" s="34" t="str">
        <f aca="false">IF(G30="","",IF(G30&lt;=30,"0-30",IF(G30&lt;=60,"31-60",IF(G30&lt;=90,"61-90","90+"))))</f>
        <v/>
      </c>
    </row>
    <row r="31" customFormat="false" ht="15" hidden="false" customHeight="true" outlineLevel="0" collapsed="false">
      <c r="A31" s="57" t="str">
        <f aca="false">IF(AND(Xero_Raw!$C$27="Invoice",AND(Xero_Raw!$I$27&lt;&gt;"Paid",Xero_Raw!$I$27&lt;&gt;"Void",Xero_Raw!$I$27&lt;&gt;"Draft")),Xero_Raw!$A$27,"")</f>
        <v/>
      </c>
      <c r="B31" s="57" t="str">
        <f aca="false">IF(AND(Xero_Raw!$C$27="Invoice",AND(Xero_Raw!$I$27&lt;&gt;"Paid",Xero_Raw!$I$27&lt;&gt;"Void",Xero_Raw!$I$27&lt;&gt;"Draft")),Xero_Raw!$B$27,"")</f>
        <v/>
      </c>
      <c r="C31" s="58" t="str">
        <f aca="false">IF(AND(Xero_Raw!$C$27="Invoice",AND(Xero_Raw!$I$27&lt;&gt;"Paid",Xero_Raw!$I$27&lt;&gt;"Void",Xero_Raw!$I$27&lt;&gt;"Draft")),Xero_Raw!$D$27,"")</f>
        <v/>
      </c>
      <c r="D31" s="58" t="str">
        <f aca="false">IF(C31="","",IFERROR(VLOOKUP(C31,Assumptions!$G$5:$H$16,2,0),"Other"))</f>
        <v/>
      </c>
      <c r="E31" s="59" t="str">
        <f aca="false">IF(AND(Xero_Raw!$C$27="Invoice",AND(Xero_Raw!$I$27&lt;&gt;"Paid",Xero_Raw!$I$27&lt;&gt;"Void",Xero_Raw!$I$27&lt;&gt;"Draft")),Xero_Raw!$H$27,"")</f>
        <v/>
      </c>
      <c r="F31" s="58" t="str">
        <f aca="false">IF(AND(Xero_Raw!$C$27="Invoice",AND(Xero_Raw!$I$27&lt;&gt;"Paid",Xero_Raw!$I$27&lt;&gt;"Void",Xero_Raw!$I$27&lt;&gt;"Draft")),Xero_Raw!$I$27,"")</f>
        <v/>
      </c>
      <c r="G31" s="58" t="str">
        <f aca="false">IF(B31="","",MAX($C$4-B31,0))</f>
        <v/>
      </c>
      <c r="H31" s="34" t="str">
        <f aca="false">IF(G31="","",IF(G31&lt;=30,"0-30",IF(G31&lt;=60,"31-60",IF(G31&lt;=90,"61-90","90+"))))</f>
        <v/>
      </c>
    </row>
    <row r="32" customFormat="false" ht="15" hidden="false" customHeight="true" outlineLevel="0" collapsed="false">
      <c r="A32" s="57" t="str">
        <f aca="false">IF(AND(Xero_Raw!$C$28="Invoice",AND(Xero_Raw!$I$28&lt;&gt;"Paid",Xero_Raw!$I$28&lt;&gt;"Void",Xero_Raw!$I$28&lt;&gt;"Draft")),Xero_Raw!$A$28,"")</f>
        <v/>
      </c>
      <c r="B32" s="57" t="str">
        <f aca="false">IF(AND(Xero_Raw!$C$28="Invoice",AND(Xero_Raw!$I$28&lt;&gt;"Paid",Xero_Raw!$I$28&lt;&gt;"Void",Xero_Raw!$I$28&lt;&gt;"Draft")),Xero_Raw!$B$28,"")</f>
        <v/>
      </c>
      <c r="C32" s="58" t="str">
        <f aca="false">IF(AND(Xero_Raw!$C$28="Invoice",AND(Xero_Raw!$I$28&lt;&gt;"Paid",Xero_Raw!$I$28&lt;&gt;"Void",Xero_Raw!$I$28&lt;&gt;"Draft")),Xero_Raw!$D$28,"")</f>
        <v/>
      </c>
      <c r="D32" s="58" t="str">
        <f aca="false">IF(C32="","",IFERROR(VLOOKUP(C32,Assumptions!$G$5:$H$16,2,0),"Other"))</f>
        <v/>
      </c>
      <c r="E32" s="59" t="str">
        <f aca="false">IF(AND(Xero_Raw!$C$28="Invoice",AND(Xero_Raw!$I$28&lt;&gt;"Paid",Xero_Raw!$I$28&lt;&gt;"Void",Xero_Raw!$I$28&lt;&gt;"Draft")),Xero_Raw!$H$28,"")</f>
        <v/>
      </c>
      <c r="F32" s="58" t="str">
        <f aca="false">IF(AND(Xero_Raw!$C$28="Invoice",AND(Xero_Raw!$I$28&lt;&gt;"Paid",Xero_Raw!$I$28&lt;&gt;"Void",Xero_Raw!$I$28&lt;&gt;"Draft")),Xero_Raw!$I$28,"")</f>
        <v/>
      </c>
      <c r="G32" s="58" t="str">
        <f aca="false">IF(B32="","",MAX($C$4-B32,0))</f>
        <v/>
      </c>
      <c r="H32" s="34" t="str">
        <f aca="false">IF(G32="","",IF(G32&lt;=30,"0-30",IF(G32&lt;=60,"31-60",IF(G32&lt;=90,"61-90","90+"))))</f>
        <v/>
      </c>
    </row>
    <row r="33" customFormat="false" ht="15" hidden="false" customHeight="true" outlineLevel="0" collapsed="false">
      <c r="A33" s="57" t="str">
        <f aca="false">IF(AND(Xero_Raw!$C$29="Invoice",AND(Xero_Raw!$I$29&lt;&gt;"Paid",Xero_Raw!$I$29&lt;&gt;"Void",Xero_Raw!$I$29&lt;&gt;"Draft")),Xero_Raw!$A$29,"")</f>
        <v/>
      </c>
      <c r="B33" s="57" t="str">
        <f aca="false">IF(AND(Xero_Raw!$C$29="Invoice",AND(Xero_Raw!$I$29&lt;&gt;"Paid",Xero_Raw!$I$29&lt;&gt;"Void",Xero_Raw!$I$29&lt;&gt;"Draft")),Xero_Raw!$B$29,"")</f>
        <v/>
      </c>
      <c r="C33" s="58" t="str">
        <f aca="false">IF(AND(Xero_Raw!$C$29="Invoice",AND(Xero_Raw!$I$29&lt;&gt;"Paid",Xero_Raw!$I$29&lt;&gt;"Void",Xero_Raw!$I$29&lt;&gt;"Draft")),Xero_Raw!$D$29,"")</f>
        <v/>
      </c>
      <c r="D33" s="58" t="str">
        <f aca="false">IF(C33="","",IFERROR(VLOOKUP(C33,Assumptions!$G$5:$H$16,2,0),"Other"))</f>
        <v/>
      </c>
      <c r="E33" s="59" t="str">
        <f aca="false">IF(AND(Xero_Raw!$C$29="Invoice",AND(Xero_Raw!$I$29&lt;&gt;"Paid",Xero_Raw!$I$29&lt;&gt;"Void",Xero_Raw!$I$29&lt;&gt;"Draft")),Xero_Raw!$H$29,"")</f>
        <v/>
      </c>
      <c r="F33" s="58" t="str">
        <f aca="false">IF(AND(Xero_Raw!$C$29="Invoice",AND(Xero_Raw!$I$29&lt;&gt;"Paid",Xero_Raw!$I$29&lt;&gt;"Void",Xero_Raw!$I$29&lt;&gt;"Draft")),Xero_Raw!$I$29,"")</f>
        <v/>
      </c>
      <c r="G33" s="58" t="str">
        <f aca="false">IF(B33="","",MAX($C$4-B33,0))</f>
        <v/>
      </c>
      <c r="H33" s="34" t="str">
        <f aca="false">IF(G33="","",IF(G33&lt;=30,"0-30",IF(G33&lt;=60,"31-60",IF(G33&lt;=90,"61-90","90+"))))</f>
        <v/>
      </c>
    </row>
    <row r="34" customFormat="false" ht="15" hidden="false" customHeight="true" outlineLevel="0" collapsed="false">
      <c r="A34" s="57" t="n">
        <f aca="false">IF(AND(Xero_Raw!$C$30="Invoice",AND(Xero_Raw!$I$30&lt;&gt;"Paid",Xero_Raw!$I$30&lt;&gt;"Void",Xero_Raw!$I$30&lt;&gt;"Draft")),Xero_Raw!$A$30,"")</f>
        <v>46174</v>
      </c>
      <c r="B34" s="57" t="n">
        <f aca="false">IF(AND(Xero_Raw!$C$30="Invoice",AND(Xero_Raw!$I$30&lt;&gt;"Paid",Xero_Raw!$I$30&lt;&gt;"Void",Xero_Raw!$I$30&lt;&gt;"Draft")),Xero_Raw!$B$30,"")</f>
        <v>46204</v>
      </c>
      <c r="C34" s="58" t="str">
        <f aca="false">IF(AND(Xero_Raw!$C$30="Invoice",AND(Xero_Raw!$I$30&lt;&gt;"Paid",Xero_Raw!$I$30&lt;&gt;"Void",Xero_Raw!$I$30&lt;&gt;"Draft")),Xero_Raw!$D$30,"")</f>
        <v>I Farmer Pte Ltd</v>
      </c>
      <c r="D34" s="58" t="str">
        <f aca="false">IF(C34="","",IFERROR(VLOOKUP(C34,Assumptions!$G$5:$H$16,2,0),"Other"))</f>
        <v>Singapore</v>
      </c>
      <c r="E34" s="59" t="n">
        <f aca="false">IF(AND(Xero_Raw!$C$30="Invoice",AND(Xero_Raw!$I$30&lt;&gt;"Paid",Xero_Raw!$I$30&lt;&gt;"Void",Xero_Raw!$I$30&lt;&gt;"Draft")),Xero_Raw!$H$30,"")</f>
        <v>28580.56</v>
      </c>
      <c r="F34" s="58" t="str">
        <f aca="false">IF(AND(Xero_Raw!$C$30="Invoice",AND(Xero_Raw!$I$30&lt;&gt;"Paid",Xero_Raw!$I$30&lt;&gt;"Void",Xero_Raw!$I$30&lt;&gt;"Draft")),Xero_Raw!$I$30,"")</f>
        <v>Overdue</v>
      </c>
      <c r="G34" s="58" t="n">
        <f aca="false">IF(B34="","",MAX($C$4-B34,0))</f>
        <v>0</v>
      </c>
      <c r="H34" s="34" t="str">
        <f aca="false">IF(G34="","",IF(G34&lt;=30,"0-30",IF(G34&lt;=60,"31-60",IF(G34&lt;=90,"61-90","90+"))))</f>
        <v>0-30</v>
      </c>
    </row>
    <row r="35" customFormat="false" ht="15" hidden="false" customHeight="true" outlineLevel="0" collapsed="false">
      <c r="A35" s="57" t="str">
        <f aca="false">IF(AND(Xero_Raw!$C$31="Invoice",AND(Xero_Raw!$I$31&lt;&gt;"Paid",Xero_Raw!$I$31&lt;&gt;"Void",Xero_Raw!$I$31&lt;&gt;"Draft")),Xero_Raw!$A$31,"")</f>
        <v/>
      </c>
      <c r="B35" s="57" t="str">
        <f aca="false">IF(AND(Xero_Raw!$C$31="Invoice",AND(Xero_Raw!$I$31&lt;&gt;"Paid",Xero_Raw!$I$31&lt;&gt;"Void",Xero_Raw!$I$31&lt;&gt;"Draft")),Xero_Raw!$B$31,"")</f>
        <v/>
      </c>
      <c r="C35" s="58" t="str">
        <f aca="false">IF(AND(Xero_Raw!$C$31="Invoice",AND(Xero_Raw!$I$31&lt;&gt;"Paid",Xero_Raw!$I$31&lt;&gt;"Void",Xero_Raw!$I$31&lt;&gt;"Draft")),Xero_Raw!$D$31,"")</f>
        <v/>
      </c>
      <c r="D35" s="58" t="str">
        <f aca="false">IF(C35="","",IFERROR(VLOOKUP(C35,Assumptions!$G$5:$H$16,2,0),"Other"))</f>
        <v/>
      </c>
      <c r="E35" s="59" t="str">
        <f aca="false">IF(AND(Xero_Raw!$C$31="Invoice",AND(Xero_Raw!$I$31&lt;&gt;"Paid",Xero_Raw!$I$31&lt;&gt;"Void",Xero_Raw!$I$31&lt;&gt;"Draft")),Xero_Raw!$H$31,"")</f>
        <v/>
      </c>
      <c r="F35" s="58" t="str">
        <f aca="false">IF(AND(Xero_Raw!$C$31="Invoice",AND(Xero_Raw!$I$31&lt;&gt;"Paid",Xero_Raw!$I$31&lt;&gt;"Void",Xero_Raw!$I$31&lt;&gt;"Draft")),Xero_Raw!$I$31,"")</f>
        <v/>
      </c>
      <c r="G35" s="58" t="str">
        <f aca="false">IF(B35="","",MAX($C$4-B35,0))</f>
        <v/>
      </c>
      <c r="H35" s="34" t="str">
        <f aca="false">IF(G35="","",IF(G35&lt;=30,"0-30",IF(G35&lt;=60,"31-60",IF(G35&lt;=90,"61-90","90+"))))</f>
        <v/>
      </c>
    </row>
    <row r="36" customFormat="false" ht="15" hidden="false" customHeight="true" outlineLevel="0" collapsed="false">
      <c r="A36" s="57" t="str">
        <f aca="false">IF(AND(Xero_Raw!$C$32="Invoice",AND(Xero_Raw!$I$32&lt;&gt;"Paid",Xero_Raw!$I$32&lt;&gt;"Void",Xero_Raw!$I$32&lt;&gt;"Draft")),Xero_Raw!$A$32,"")</f>
        <v/>
      </c>
      <c r="B36" s="57" t="str">
        <f aca="false">IF(AND(Xero_Raw!$C$32="Invoice",AND(Xero_Raw!$I$32&lt;&gt;"Paid",Xero_Raw!$I$32&lt;&gt;"Void",Xero_Raw!$I$32&lt;&gt;"Draft")),Xero_Raw!$B$32,"")</f>
        <v/>
      </c>
      <c r="C36" s="58" t="str">
        <f aca="false">IF(AND(Xero_Raw!$C$32="Invoice",AND(Xero_Raw!$I$32&lt;&gt;"Paid",Xero_Raw!$I$32&lt;&gt;"Void",Xero_Raw!$I$32&lt;&gt;"Draft")),Xero_Raw!$D$32,"")</f>
        <v/>
      </c>
      <c r="D36" s="58" t="str">
        <f aca="false">IF(C36="","",IFERROR(VLOOKUP(C36,Assumptions!$G$5:$H$16,2,0),"Other"))</f>
        <v/>
      </c>
      <c r="E36" s="59" t="str">
        <f aca="false">IF(AND(Xero_Raw!$C$32="Invoice",AND(Xero_Raw!$I$32&lt;&gt;"Paid",Xero_Raw!$I$32&lt;&gt;"Void",Xero_Raw!$I$32&lt;&gt;"Draft")),Xero_Raw!$H$32,"")</f>
        <v/>
      </c>
      <c r="F36" s="58" t="str">
        <f aca="false">IF(AND(Xero_Raw!$C$32="Invoice",AND(Xero_Raw!$I$32&lt;&gt;"Paid",Xero_Raw!$I$32&lt;&gt;"Void",Xero_Raw!$I$32&lt;&gt;"Draft")),Xero_Raw!$I$32,"")</f>
        <v/>
      </c>
      <c r="G36" s="58" t="str">
        <f aca="false">IF(B36="","",MAX($C$4-B36,0))</f>
        <v/>
      </c>
      <c r="H36" s="34" t="str">
        <f aca="false">IF(G36="","",IF(G36&lt;=30,"0-30",IF(G36&lt;=60,"31-60",IF(G36&lt;=90,"61-90","90+"))))</f>
        <v/>
      </c>
    </row>
    <row r="37" customFormat="false" ht="15" hidden="false" customHeight="true" outlineLevel="0" collapsed="false">
      <c r="A37" s="57" t="n">
        <f aca="false">IF(AND(Xero_Raw!$C$33="Invoice",AND(Xero_Raw!$I$33&lt;&gt;"Paid",Xero_Raw!$I$33&lt;&gt;"Void",Xero_Raw!$I$33&lt;&gt;"Draft")),Xero_Raw!$A$33,"")</f>
        <v>46183</v>
      </c>
      <c r="B37" s="57" t="n">
        <f aca="false">IF(AND(Xero_Raw!$C$33="Invoice",AND(Xero_Raw!$I$33&lt;&gt;"Paid",Xero_Raw!$I$33&lt;&gt;"Void",Xero_Raw!$I$33&lt;&gt;"Draft")),Xero_Raw!$B$33,"")</f>
        <v>46213</v>
      </c>
      <c r="C37" s="58" t="str">
        <f aca="false">IF(AND(Xero_Raw!$C$33="Invoice",AND(Xero_Raw!$I$33&lt;&gt;"Paid",Xero_Raw!$I$33&lt;&gt;"Void",Xero_Raw!$I$33&lt;&gt;"Draft")),Xero_Raw!$D$33,"")</f>
        <v>Ticket Wala</v>
      </c>
      <c r="D37" s="58" t="str">
        <f aca="false">IF(C37="","",IFERROR(VLOOKUP(C37,Assumptions!$G$5:$H$16,2,0),"Other"))</f>
        <v>Pakistan</v>
      </c>
      <c r="E37" s="59" t="n">
        <f aca="false">IF(AND(Xero_Raw!$C$33="Invoice",AND(Xero_Raw!$I$33&lt;&gt;"Paid",Xero_Raw!$I$33&lt;&gt;"Void",Xero_Raw!$I$33&lt;&gt;"Draft")),Xero_Raw!$H$33,"")</f>
        <v>37477.31</v>
      </c>
      <c r="F37" s="58" t="str">
        <f aca="false">IF(AND(Xero_Raw!$C$33="Invoice",AND(Xero_Raw!$I$33&lt;&gt;"Paid",Xero_Raw!$I$33&lt;&gt;"Void",Xero_Raw!$I$33&lt;&gt;"Draft")),Xero_Raw!$I$33,"")</f>
        <v>Overdue</v>
      </c>
      <c r="G37" s="58" t="n">
        <f aca="false">IF(B37="","",MAX($C$4-B37,0))</f>
        <v>0</v>
      </c>
      <c r="H37" s="34" t="str">
        <f aca="false">IF(G37="","",IF(G37&lt;=30,"0-30",IF(G37&lt;=60,"31-60",IF(G37&lt;=90,"61-90","90+"))))</f>
        <v>0-30</v>
      </c>
    </row>
    <row r="38" customFormat="false" ht="15" hidden="false" customHeight="true" outlineLevel="0" collapsed="false">
      <c r="A38" s="57" t="n">
        <f aca="false">IF(AND(Xero_Raw!$C$34="Invoice",AND(Xero_Raw!$I$34&lt;&gt;"Paid",Xero_Raw!$I$34&lt;&gt;"Void",Xero_Raw!$I$34&lt;&gt;"Draft")),Xero_Raw!$A$34,"")</f>
        <v>46174</v>
      </c>
      <c r="B38" s="57" t="n">
        <f aca="false">IF(AND(Xero_Raw!$C$34="Invoice",AND(Xero_Raw!$I$34&lt;&gt;"Paid",Xero_Raw!$I$34&lt;&gt;"Void",Xero_Raw!$I$34&lt;&gt;"Draft")),Xero_Raw!$B$34,"")</f>
        <v>46204</v>
      </c>
      <c r="C38" s="58" t="str">
        <f aca="false">IF(AND(Xero_Raw!$C$34="Invoice",AND(Xero_Raw!$I$34&lt;&gt;"Paid",Xero_Raw!$I$34&lt;&gt;"Void",Xero_Raw!$I$34&lt;&gt;"Draft")),Xero_Raw!$D$34,"")</f>
        <v>Almoudi Group Tabuk ST</v>
      </c>
      <c r="D38" s="58" t="str">
        <f aca="false">IF(C38="","",IFERROR(VLOOKUP(C38,Assumptions!$G$5:$H$16,2,0),"Other"))</f>
        <v>Saudi Arabia</v>
      </c>
      <c r="E38" s="59" t="n">
        <f aca="false">IF(AND(Xero_Raw!$C$34="Invoice",AND(Xero_Raw!$I$34&lt;&gt;"Paid",Xero_Raw!$I$34&lt;&gt;"Void",Xero_Raw!$I$34&lt;&gt;"Draft")),Xero_Raw!$H$34,"")</f>
        <v>40736.07</v>
      </c>
      <c r="F38" s="58" t="str">
        <f aca="false">IF(AND(Xero_Raw!$C$34="Invoice",AND(Xero_Raw!$I$34&lt;&gt;"Paid",Xero_Raw!$I$34&lt;&gt;"Void",Xero_Raw!$I$34&lt;&gt;"Draft")),Xero_Raw!$I$34,"")</f>
        <v>Awaiting Payment</v>
      </c>
      <c r="G38" s="58" t="n">
        <f aca="false">IF(B38="","",MAX($C$4-B38,0))</f>
        <v>0</v>
      </c>
      <c r="H38" s="34" t="str">
        <f aca="false">IF(G38="","",IF(G38&lt;=30,"0-30",IF(G38&lt;=60,"31-60",IF(G38&lt;=90,"61-90","90+"))))</f>
        <v>0-30</v>
      </c>
    </row>
    <row r="39" customFormat="false" ht="15" hidden="false" customHeight="true" outlineLevel="0" collapsed="false">
      <c r="A39" s="57" t="n">
        <f aca="false">IF(AND(Xero_Raw!$C$35="Invoice",AND(Xero_Raw!$I$35&lt;&gt;"Paid",Xero_Raw!$I$35&lt;&gt;"Void",Xero_Raw!$I$35&lt;&gt;"Draft")),Xero_Raw!$A$35,"")</f>
        <v>46178</v>
      </c>
      <c r="B39" s="57" t="n">
        <f aca="false">IF(AND(Xero_Raw!$C$35="Invoice",AND(Xero_Raw!$I$35&lt;&gt;"Paid",Xero_Raw!$I$35&lt;&gt;"Void",Xero_Raw!$I$35&lt;&gt;"Draft")),Xero_Raw!$B$35,"")</f>
        <v>46208</v>
      </c>
      <c r="C39" s="58" t="str">
        <f aca="false">IF(AND(Xero_Raw!$C$35="Invoice",AND(Xero_Raw!$I$35&lt;&gt;"Paid",Xero_Raw!$I$35&lt;&gt;"Void",Xero_Raw!$I$35&lt;&gt;"Draft")),Xero_Raw!$D$35,"")</f>
        <v>Almoudi Group Tabuk ST</v>
      </c>
      <c r="D39" s="58" t="str">
        <f aca="false">IF(C39="","",IFERROR(VLOOKUP(C39,Assumptions!$G$5:$H$16,2,0),"Other"))</f>
        <v>Saudi Arabia</v>
      </c>
      <c r="E39" s="59" t="n">
        <f aca="false">IF(AND(Xero_Raw!$C$35="Invoice",AND(Xero_Raw!$I$35&lt;&gt;"Paid",Xero_Raw!$I$35&lt;&gt;"Void",Xero_Raw!$I$35&lt;&gt;"Draft")),Xero_Raw!$H$35,"")</f>
        <v>17339.02</v>
      </c>
      <c r="F39" s="58" t="str">
        <f aca="false">IF(AND(Xero_Raw!$C$35="Invoice",AND(Xero_Raw!$I$35&lt;&gt;"Paid",Xero_Raw!$I$35&lt;&gt;"Void",Xero_Raw!$I$35&lt;&gt;"Draft")),Xero_Raw!$I$35,"")</f>
        <v>Overdue</v>
      </c>
      <c r="G39" s="58" t="n">
        <f aca="false">IF(B39="","",MAX($C$4-B39,0))</f>
        <v>0</v>
      </c>
      <c r="H39" s="34" t="str">
        <f aca="false">IF(G39="","",IF(G39&lt;=30,"0-30",IF(G39&lt;=60,"31-60",IF(G39&lt;=90,"61-90","90+"))))</f>
        <v>0-30</v>
      </c>
    </row>
    <row r="40" customFormat="false" ht="15" hidden="false" customHeight="true" outlineLevel="0" collapsed="false">
      <c r="A40" s="57" t="n">
        <f aca="false">IF(AND(Xero_Raw!$C$36="Invoice",AND(Xero_Raw!$I$36&lt;&gt;"Paid",Xero_Raw!$I$36&lt;&gt;"Void",Xero_Raw!$I$36&lt;&gt;"Draft")),Xero_Raw!$A$36,"")</f>
        <v>46178</v>
      </c>
      <c r="B40" s="57" t="n">
        <f aca="false">IF(AND(Xero_Raw!$C$36="Invoice",AND(Xero_Raw!$I$36&lt;&gt;"Paid",Xero_Raw!$I$36&lt;&gt;"Void",Xero_Raw!$I$36&lt;&gt;"Draft")),Xero_Raw!$B$36,"")</f>
        <v>46208</v>
      </c>
      <c r="C40" s="58" t="str">
        <f aca="false">IF(AND(Xero_Raw!$C$36="Invoice",AND(Xero_Raw!$I$36&lt;&gt;"Paid",Xero_Raw!$I$36&lt;&gt;"Void",Xero_Raw!$I$36&lt;&gt;"Draft")),Xero_Raw!$D$36,"")</f>
        <v>Faysal Bank</v>
      </c>
      <c r="D40" s="58" t="str">
        <f aca="false">IF(C40="","",IFERROR(VLOOKUP(C40,Assumptions!$G$5:$H$16,2,0),"Other"))</f>
        <v>Pakistan</v>
      </c>
      <c r="E40" s="59" t="n">
        <f aca="false">IF(AND(Xero_Raw!$C$36="Invoice",AND(Xero_Raw!$I$36&lt;&gt;"Paid",Xero_Raw!$I$36&lt;&gt;"Void",Xero_Raw!$I$36&lt;&gt;"Draft")),Xero_Raw!$H$36,"")</f>
        <v>17796.2</v>
      </c>
      <c r="F40" s="58" t="str">
        <f aca="false">IF(AND(Xero_Raw!$C$36="Invoice",AND(Xero_Raw!$I$36&lt;&gt;"Paid",Xero_Raw!$I$36&lt;&gt;"Void",Xero_Raw!$I$36&lt;&gt;"Draft")),Xero_Raw!$I$36,"")</f>
        <v>Awaiting Payment</v>
      </c>
      <c r="G40" s="58" t="n">
        <f aca="false">IF(B40="","",MAX($C$4-B40,0))</f>
        <v>0</v>
      </c>
      <c r="H40" s="34" t="str">
        <f aca="false">IF(G40="","",IF(G40&lt;=30,"0-30",IF(G40&lt;=60,"31-60",IF(G40&lt;=90,"61-90","90+"))))</f>
        <v>0-30</v>
      </c>
    </row>
    <row r="41" customFormat="false" ht="15" hidden="false" customHeight="true" outlineLevel="0" collapsed="false">
      <c r="A41" s="57" t="n">
        <f aca="false">IF(AND(Xero_Raw!$C$37="Invoice",AND(Xero_Raw!$I$37&lt;&gt;"Paid",Xero_Raw!$I$37&lt;&gt;"Void",Xero_Raw!$I$37&lt;&gt;"Draft")),Xero_Raw!$A$37,"")</f>
        <v>46180</v>
      </c>
      <c r="B41" s="57" t="n">
        <f aca="false">IF(AND(Xero_Raw!$C$37="Invoice",AND(Xero_Raw!$I$37&lt;&gt;"Paid",Xero_Raw!$I$37&lt;&gt;"Void",Xero_Raw!$I$37&lt;&gt;"Draft")),Xero_Raw!$B$37,"")</f>
        <v>46210</v>
      </c>
      <c r="C41" s="58" t="str">
        <f aca="false">IF(AND(Xero_Raw!$C$37="Invoice",AND(Xero_Raw!$I$37&lt;&gt;"Paid",Xero_Raw!$I$37&lt;&gt;"Void",Xero_Raw!$I$37&lt;&gt;"Draft")),Xero_Raw!$D$37,"")</f>
        <v>Faysal Bank</v>
      </c>
      <c r="D41" s="58" t="str">
        <f aca="false">IF(C41="","",IFERROR(VLOOKUP(C41,Assumptions!$G$5:$H$16,2,0),"Other"))</f>
        <v>Pakistan</v>
      </c>
      <c r="E41" s="59" t="n">
        <f aca="false">IF(AND(Xero_Raw!$C$37="Invoice",AND(Xero_Raw!$I$37&lt;&gt;"Paid",Xero_Raw!$I$37&lt;&gt;"Void",Xero_Raw!$I$37&lt;&gt;"Draft")),Xero_Raw!$H$37,"")</f>
        <v>41874.83</v>
      </c>
      <c r="F41" s="58" t="str">
        <f aca="false">IF(AND(Xero_Raw!$C$37="Invoice",AND(Xero_Raw!$I$37&lt;&gt;"Paid",Xero_Raw!$I$37&lt;&gt;"Void",Xero_Raw!$I$37&lt;&gt;"Draft")),Xero_Raw!$I$37,"")</f>
        <v>Overdue</v>
      </c>
      <c r="G41" s="58" t="n">
        <f aca="false">IF(B41="","",MAX($C$4-B41,0))</f>
        <v>0</v>
      </c>
      <c r="H41" s="34" t="str">
        <f aca="false">IF(G41="","",IF(G41&lt;=30,"0-30",IF(G41&lt;=60,"31-60",IF(G41&lt;=90,"61-90","90+"))))</f>
        <v>0-30</v>
      </c>
    </row>
    <row r="42" customFormat="false" ht="15" hidden="false" customHeight="true" outlineLevel="0" collapsed="false">
      <c r="A42" s="57" t="str">
        <f aca="false">IF(AND(Xero_Raw!$C$38="Invoice",AND(Xero_Raw!$I$38&lt;&gt;"Paid",Xero_Raw!$I$38&lt;&gt;"Void",Xero_Raw!$I$38&lt;&gt;"Draft")),Xero_Raw!$A$38,"")</f>
        <v/>
      </c>
      <c r="B42" s="57" t="str">
        <f aca="false">IF(AND(Xero_Raw!$C$38="Invoice",AND(Xero_Raw!$I$38&lt;&gt;"Paid",Xero_Raw!$I$38&lt;&gt;"Void",Xero_Raw!$I$38&lt;&gt;"Draft")),Xero_Raw!$B$38,"")</f>
        <v/>
      </c>
      <c r="C42" s="58" t="str">
        <f aca="false">IF(AND(Xero_Raw!$C$38="Invoice",AND(Xero_Raw!$I$38&lt;&gt;"Paid",Xero_Raw!$I$38&lt;&gt;"Void",Xero_Raw!$I$38&lt;&gt;"Draft")),Xero_Raw!$D$38,"")</f>
        <v/>
      </c>
      <c r="D42" s="58" t="str">
        <f aca="false">IF(C42="","",IFERROR(VLOOKUP(C42,Assumptions!$G$5:$H$16,2,0),"Other"))</f>
        <v/>
      </c>
      <c r="E42" s="59" t="str">
        <f aca="false">IF(AND(Xero_Raw!$C$38="Invoice",AND(Xero_Raw!$I$38&lt;&gt;"Paid",Xero_Raw!$I$38&lt;&gt;"Void",Xero_Raw!$I$38&lt;&gt;"Draft")),Xero_Raw!$H$38,"")</f>
        <v/>
      </c>
      <c r="F42" s="58" t="str">
        <f aca="false">IF(AND(Xero_Raw!$C$38="Invoice",AND(Xero_Raw!$I$38&lt;&gt;"Paid",Xero_Raw!$I$38&lt;&gt;"Void",Xero_Raw!$I$38&lt;&gt;"Draft")),Xero_Raw!$I$38,"")</f>
        <v/>
      </c>
      <c r="G42" s="58" t="str">
        <f aca="false">IF(B42="","",MAX($C$4-B42,0))</f>
        <v/>
      </c>
      <c r="H42" s="34" t="str">
        <f aca="false">IF(G42="","",IF(G42&lt;=30,"0-30",IF(G42&lt;=60,"31-60",IF(G42&lt;=90,"61-90","90+"))))</f>
        <v/>
      </c>
    </row>
    <row r="43" customFormat="false" ht="15" hidden="false" customHeight="true" outlineLevel="0" collapsed="false">
      <c r="A43" s="57" t="str">
        <f aca="false">IF(AND(Xero_Raw!$C$39="Invoice",AND(Xero_Raw!$I$39&lt;&gt;"Paid",Xero_Raw!$I$39&lt;&gt;"Void",Xero_Raw!$I$39&lt;&gt;"Draft")),Xero_Raw!$A$39,"")</f>
        <v/>
      </c>
      <c r="B43" s="57" t="str">
        <f aca="false">IF(AND(Xero_Raw!$C$39="Invoice",AND(Xero_Raw!$I$39&lt;&gt;"Paid",Xero_Raw!$I$39&lt;&gt;"Void",Xero_Raw!$I$39&lt;&gt;"Draft")),Xero_Raw!$B$39,"")</f>
        <v/>
      </c>
      <c r="C43" s="58" t="str">
        <f aca="false">IF(AND(Xero_Raw!$C$39="Invoice",AND(Xero_Raw!$I$39&lt;&gt;"Paid",Xero_Raw!$I$39&lt;&gt;"Void",Xero_Raw!$I$39&lt;&gt;"Draft")),Xero_Raw!$D$39,"")</f>
        <v/>
      </c>
      <c r="D43" s="58" t="str">
        <f aca="false">IF(C43="","",IFERROR(VLOOKUP(C43,Assumptions!$G$5:$H$16,2,0),"Other"))</f>
        <v/>
      </c>
      <c r="E43" s="59" t="str">
        <f aca="false">IF(AND(Xero_Raw!$C$39="Invoice",AND(Xero_Raw!$I$39&lt;&gt;"Paid",Xero_Raw!$I$39&lt;&gt;"Void",Xero_Raw!$I$39&lt;&gt;"Draft")),Xero_Raw!$H$39,"")</f>
        <v/>
      </c>
      <c r="F43" s="58" t="str">
        <f aca="false">IF(AND(Xero_Raw!$C$39="Invoice",AND(Xero_Raw!$I$39&lt;&gt;"Paid",Xero_Raw!$I$39&lt;&gt;"Void",Xero_Raw!$I$39&lt;&gt;"Draft")),Xero_Raw!$I$39,"")</f>
        <v/>
      </c>
      <c r="G43" s="58" t="str">
        <f aca="false">IF(B43="","",MAX($C$4-B43,0))</f>
        <v/>
      </c>
      <c r="H43" s="34" t="str">
        <f aca="false">IF(G43="","",IF(G43&lt;=30,"0-30",IF(G43&lt;=60,"31-60",IF(G43&lt;=90,"61-90","90+"))))</f>
        <v/>
      </c>
    </row>
    <row r="44" customFormat="false" ht="15" hidden="false" customHeight="true" outlineLevel="0" collapsed="false">
      <c r="A44" s="57" t="str">
        <f aca="false">IF(AND(Xero_Raw!$C$40="Invoice",AND(Xero_Raw!$I$40&lt;&gt;"Paid",Xero_Raw!$I$40&lt;&gt;"Void",Xero_Raw!$I$40&lt;&gt;"Draft")),Xero_Raw!$A$40,"")</f>
        <v/>
      </c>
      <c r="B44" s="57" t="str">
        <f aca="false">IF(AND(Xero_Raw!$C$40="Invoice",AND(Xero_Raw!$I$40&lt;&gt;"Paid",Xero_Raw!$I$40&lt;&gt;"Void",Xero_Raw!$I$40&lt;&gt;"Draft")),Xero_Raw!$B$40,"")</f>
        <v/>
      </c>
      <c r="C44" s="58" t="str">
        <f aca="false">IF(AND(Xero_Raw!$C$40="Invoice",AND(Xero_Raw!$I$40&lt;&gt;"Paid",Xero_Raw!$I$40&lt;&gt;"Void",Xero_Raw!$I$40&lt;&gt;"Draft")),Xero_Raw!$D$40,"")</f>
        <v/>
      </c>
      <c r="D44" s="58" t="str">
        <f aca="false">IF(C44="","",IFERROR(VLOOKUP(C44,Assumptions!$G$5:$H$16,2,0),"Other"))</f>
        <v/>
      </c>
      <c r="E44" s="59" t="str">
        <f aca="false">IF(AND(Xero_Raw!$C$40="Invoice",AND(Xero_Raw!$I$40&lt;&gt;"Paid",Xero_Raw!$I$40&lt;&gt;"Void",Xero_Raw!$I$40&lt;&gt;"Draft")),Xero_Raw!$H$40,"")</f>
        <v/>
      </c>
      <c r="F44" s="58" t="str">
        <f aca="false">IF(AND(Xero_Raw!$C$40="Invoice",AND(Xero_Raw!$I$40&lt;&gt;"Paid",Xero_Raw!$I$40&lt;&gt;"Void",Xero_Raw!$I$40&lt;&gt;"Draft")),Xero_Raw!$I$40,"")</f>
        <v/>
      </c>
      <c r="G44" s="58" t="str">
        <f aca="false">IF(B44="","",MAX($C$4-B44,0))</f>
        <v/>
      </c>
      <c r="H44" s="34" t="str">
        <f aca="false">IF(G44="","",IF(G44&lt;=30,"0-30",IF(G44&lt;=60,"31-60",IF(G44&lt;=90,"61-90","90+"))))</f>
        <v/>
      </c>
    </row>
    <row r="45" customFormat="false" ht="15" hidden="false" customHeight="true" outlineLevel="0" collapsed="false">
      <c r="A45" s="57" t="str">
        <f aca="false">IF(AND(Xero_Raw!$C$41="Invoice",AND(Xero_Raw!$I$41&lt;&gt;"Paid",Xero_Raw!$I$41&lt;&gt;"Void",Xero_Raw!$I$41&lt;&gt;"Draft")),Xero_Raw!$A$41,"")</f>
        <v/>
      </c>
      <c r="B45" s="57" t="str">
        <f aca="false">IF(AND(Xero_Raw!$C$41="Invoice",AND(Xero_Raw!$I$41&lt;&gt;"Paid",Xero_Raw!$I$41&lt;&gt;"Void",Xero_Raw!$I$41&lt;&gt;"Draft")),Xero_Raw!$B$41,"")</f>
        <v/>
      </c>
      <c r="C45" s="58" t="str">
        <f aca="false">IF(AND(Xero_Raw!$C$41="Invoice",AND(Xero_Raw!$I$41&lt;&gt;"Paid",Xero_Raw!$I$41&lt;&gt;"Void",Xero_Raw!$I$41&lt;&gt;"Draft")),Xero_Raw!$D$41,"")</f>
        <v/>
      </c>
      <c r="D45" s="58" t="str">
        <f aca="false">IF(C45="","",IFERROR(VLOOKUP(C45,Assumptions!$G$5:$H$16,2,0),"Other"))</f>
        <v/>
      </c>
      <c r="E45" s="59" t="str">
        <f aca="false">IF(AND(Xero_Raw!$C$41="Invoice",AND(Xero_Raw!$I$41&lt;&gt;"Paid",Xero_Raw!$I$41&lt;&gt;"Void",Xero_Raw!$I$41&lt;&gt;"Draft")),Xero_Raw!$H$41,"")</f>
        <v/>
      </c>
      <c r="F45" s="58" t="str">
        <f aca="false">IF(AND(Xero_Raw!$C$41="Invoice",AND(Xero_Raw!$I$41&lt;&gt;"Paid",Xero_Raw!$I$41&lt;&gt;"Void",Xero_Raw!$I$41&lt;&gt;"Draft")),Xero_Raw!$I$41,"")</f>
        <v/>
      </c>
      <c r="G45" s="58" t="str">
        <f aca="false">IF(B45="","",MAX($C$4-B45,0))</f>
        <v/>
      </c>
      <c r="H45" s="34" t="str">
        <f aca="false">IF(G45="","",IF(G45&lt;=30,"0-30",IF(G45&lt;=60,"31-60",IF(G45&lt;=90,"61-90","90+"))))</f>
        <v/>
      </c>
    </row>
    <row r="46" customFormat="false" ht="15" hidden="false" customHeight="true" outlineLevel="0" collapsed="false">
      <c r="A46" s="57" t="str">
        <f aca="false">IF(AND(Xero_Raw!$C$42="Invoice",AND(Xero_Raw!$I$42&lt;&gt;"Paid",Xero_Raw!$I$42&lt;&gt;"Void",Xero_Raw!$I$42&lt;&gt;"Draft")),Xero_Raw!$A$42,"")</f>
        <v/>
      </c>
      <c r="B46" s="57" t="str">
        <f aca="false">IF(AND(Xero_Raw!$C$42="Invoice",AND(Xero_Raw!$I$42&lt;&gt;"Paid",Xero_Raw!$I$42&lt;&gt;"Void",Xero_Raw!$I$42&lt;&gt;"Draft")),Xero_Raw!$B$42,"")</f>
        <v/>
      </c>
      <c r="C46" s="58" t="str">
        <f aca="false">IF(AND(Xero_Raw!$C$42="Invoice",AND(Xero_Raw!$I$42&lt;&gt;"Paid",Xero_Raw!$I$42&lt;&gt;"Void",Xero_Raw!$I$42&lt;&gt;"Draft")),Xero_Raw!$D$42,"")</f>
        <v/>
      </c>
      <c r="D46" s="58" t="str">
        <f aca="false">IF(C46="","",IFERROR(VLOOKUP(C46,Assumptions!$G$5:$H$16,2,0),"Other"))</f>
        <v/>
      </c>
      <c r="E46" s="59" t="str">
        <f aca="false">IF(AND(Xero_Raw!$C$42="Invoice",AND(Xero_Raw!$I$42&lt;&gt;"Paid",Xero_Raw!$I$42&lt;&gt;"Void",Xero_Raw!$I$42&lt;&gt;"Draft")),Xero_Raw!$H$42,"")</f>
        <v/>
      </c>
      <c r="F46" s="58" t="str">
        <f aca="false">IF(AND(Xero_Raw!$C$42="Invoice",AND(Xero_Raw!$I$42&lt;&gt;"Paid",Xero_Raw!$I$42&lt;&gt;"Void",Xero_Raw!$I$42&lt;&gt;"Draft")),Xero_Raw!$I$42,"")</f>
        <v/>
      </c>
      <c r="G46" s="58" t="str">
        <f aca="false">IF(B46="","",MAX($C$4-B46,0))</f>
        <v/>
      </c>
      <c r="H46" s="34" t="str">
        <f aca="false">IF(G46="","",IF(G46&lt;=30,"0-30",IF(G46&lt;=60,"31-60",IF(G46&lt;=90,"61-90","90+"))))</f>
        <v/>
      </c>
    </row>
    <row r="48" customFormat="false" ht="15" hidden="false" customHeight="true" outlineLevel="0" collapsed="false">
      <c r="A48" s="55" t="s">
        <v>477</v>
      </c>
    </row>
    <row r="49" customFormat="false" ht="19.5" hidden="false" customHeight="true" outlineLevel="0" collapsed="false">
      <c r="A49" s="65" t="s">
        <v>231</v>
      </c>
      <c r="B49" s="65" t="s">
        <v>169</v>
      </c>
      <c r="C49" s="65" t="s">
        <v>107</v>
      </c>
      <c r="D49" s="65" t="s">
        <v>289</v>
      </c>
      <c r="E49" s="65" t="s">
        <v>174</v>
      </c>
      <c r="F49" s="65" t="s">
        <v>114</v>
      </c>
      <c r="G49" s="65" t="s">
        <v>436</v>
      </c>
      <c r="H49" s="65" t="s">
        <v>437</v>
      </c>
    </row>
    <row r="50" customFormat="false" ht="15" hidden="false" customHeight="true" outlineLevel="0" collapsed="false">
      <c r="A50" s="57" t="n">
        <f aca="false">IF(Customer_Invoices_Upload!$I$4&lt;&gt;"Paid",Customer_Invoices_Upload!$B$4,"")</f>
        <v>46127</v>
      </c>
      <c r="B50" s="57" t="n">
        <f aca="false">IF(Customer_Invoices_Upload!$I$4&lt;&gt;"Paid",Customer_Invoices_Upload!$C$4,"")</f>
        <v>46157</v>
      </c>
      <c r="C50" s="58" t="str">
        <f aca="false">IF(Customer_Invoices_Upload!$I$4&lt;&gt;"Paid",Customer_Invoices_Upload!$E$4,"")</f>
        <v>Misfit Technologies Pte Ltd</v>
      </c>
      <c r="D50" s="58" t="str">
        <f aca="false">IF(C50="","",IFERROR(VLOOKUP(C50,Assumptions!$G$5:$H$16,2,0),"Other"))</f>
        <v>Singapore</v>
      </c>
      <c r="E50" s="59" t="n">
        <f aca="false">IF(Customer_Invoices_Upload!$I$4&lt;&gt;"Paid",Customer_Invoices_Upload!$H$4,"")</f>
        <v>2862.59</v>
      </c>
      <c r="F50" s="58" t="str">
        <f aca="false">IF(Customer_Invoices_Upload!$I$4&lt;&gt;"Paid",Customer_Invoices_Upload!$I$4,"")</f>
        <v>Awaiting Payment</v>
      </c>
      <c r="G50" s="58" t="n">
        <f aca="false">IF(B50="","",MAX($C$4-B50,0))</f>
        <v>46</v>
      </c>
      <c r="H50" s="34" t="str">
        <f aca="false">IF(G50="","",IF(G50&lt;=30,"0-30",IF(G50&lt;=60,"31-60",IF(G50&lt;=90,"61-90","90+"))))</f>
        <v>31-60</v>
      </c>
    </row>
    <row r="51" customFormat="false" ht="15" hidden="false" customHeight="true" outlineLevel="0" collapsed="false">
      <c r="A51" s="57" t="str">
        <f aca="false">IF(Customer_Invoices_Upload!$I$5&lt;&gt;"Paid",Customer_Invoices_Upload!$B$5,"")</f>
        <v/>
      </c>
      <c r="B51" s="57" t="str">
        <f aca="false">IF(Customer_Invoices_Upload!$I$5&lt;&gt;"Paid",Customer_Invoices_Upload!$C$5,"")</f>
        <v/>
      </c>
      <c r="C51" s="58" t="str">
        <f aca="false">IF(Customer_Invoices_Upload!$I$5&lt;&gt;"Paid",Customer_Invoices_Upload!$E$5,"")</f>
        <v/>
      </c>
      <c r="D51" s="58" t="str">
        <f aca="false">IF(C51="","",IFERROR(VLOOKUP(C51,Assumptions!$G$5:$H$16,2,0),"Other"))</f>
        <v/>
      </c>
      <c r="E51" s="59" t="str">
        <f aca="false">IF(Customer_Invoices_Upload!$I$5&lt;&gt;"Paid",Customer_Invoices_Upload!$H$5,"")</f>
        <v/>
      </c>
      <c r="F51" s="58" t="str">
        <f aca="false">IF(Customer_Invoices_Upload!$I$5&lt;&gt;"Paid",Customer_Invoices_Upload!$I$5,"")</f>
        <v/>
      </c>
      <c r="G51" s="58" t="str">
        <f aca="false">IF(B51="","",MAX($C$4-B51,0))</f>
        <v/>
      </c>
      <c r="H51" s="34" t="str">
        <f aca="false">IF(G51="","",IF(G51&lt;=30,"0-30",IF(G51&lt;=60,"31-60",IF(G51&lt;=90,"61-90","90+"))))</f>
        <v/>
      </c>
    </row>
    <row r="52" customFormat="false" ht="15" hidden="false" customHeight="true" outlineLevel="0" collapsed="false">
      <c r="A52" s="57" t="n">
        <f aca="false">IF(Customer_Invoices_Upload!$I$6&lt;&gt;"Paid",Customer_Invoices_Upload!$B$6,"")</f>
        <v>46118</v>
      </c>
      <c r="B52" s="57" t="n">
        <f aca="false">IF(Customer_Invoices_Upload!$I$6&lt;&gt;"Paid",Customer_Invoices_Upload!$C$6,"")</f>
        <v>46148</v>
      </c>
      <c r="C52" s="58" t="str">
        <f aca="false">IF(Customer_Invoices_Upload!$I$6&lt;&gt;"Paid",Customer_Invoices_Upload!$E$6,"")</f>
        <v>Al Fardan Exchange - Sole Proprietorship L.L.C</v>
      </c>
      <c r="D52" s="58" t="str">
        <f aca="false">IF(C52="","",IFERROR(VLOOKUP(C52,Assumptions!$G$5:$H$16,2,0),"Other"))</f>
        <v>UAE</v>
      </c>
      <c r="E52" s="59" t="n">
        <f aca="false">IF(Customer_Invoices_Upload!$I$6&lt;&gt;"Paid",Customer_Invoices_Upload!$H$6,"")</f>
        <v>10317.27</v>
      </c>
      <c r="F52" s="58" t="str">
        <f aca="false">IF(Customer_Invoices_Upload!$I$6&lt;&gt;"Paid",Customer_Invoices_Upload!$I$6,"")</f>
        <v>Overdue</v>
      </c>
      <c r="G52" s="58" t="n">
        <f aca="false">IF(B52="","",MAX($C$4-B52,0))</f>
        <v>55</v>
      </c>
      <c r="H52" s="34" t="str">
        <f aca="false">IF(G52="","",IF(G52&lt;=30,"0-30",IF(G52&lt;=60,"31-60",IF(G52&lt;=90,"61-90","90+"))))</f>
        <v>31-60</v>
      </c>
    </row>
    <row r="53" customFormat="false" ht="15" hidden="false" customHeight="true" outlineLevel="0" collapsed="false">
      <c r="A53" s="57" t="n">
        <f aca="false">IF(Customer_Invoices_Upload!$I$7&lt;&gt;"Paid",Customer_Invoices_Upload!$B$7,"")</f>
        <v>46132</v>
      </c>
      <c r="B53" s="57" t="n">
        <f aca="false">IF(Customer_Invoices_Upload!$I$7&lt;&gt;"Paid",Customer_Invoices_Upload!$C$7,"")</f>
        <v>46162</v>
      </c>
      <c r="C53" s="58" t="str">
        <f aca="false">IF(Customer_Invoices_Upload!$I$7&lt;&gt;"Paid",Customer_Invoices_Upload!$E$7,"")</f>
        <v>Al Fardan Exchange - Sole Proprietorship L.L.C</v>
      </c>
      <c r="D53" s="58" t="str">
        <f aca="false">IF(C53="","",IFERROR(VLOOKUP(C53,Assumptions!$G$5:$H$16,2,0),"Other"))</f>
        <v>UAE</v>
      </c>
      <c r="E53" s="59" t="n">
        <f aca="false">IF(Customer_Invoices_Upload!$I$7&lt;&gt;"Paid",Customer_Invoices_Upload!$H$7,"")</f>
        <v>11128.21</v>
      </c>
      <c r="F53" s="58" t="str">
        <f aca="false">IF(Customer_Invoices_Upload!$I$7&lt;&gt;"Paid",Customer_Invoices_Upload!$I$7,"")</f>
        <v>Overdue</v>
      </c>
      <c r="G53" s="58" t="n">
        <f aca="false">IF(B53="","",MAX($C$4-B53,0))</f>
        <v>41</v>
      </c>
      <c r="H53" s="34" t="str">
        <f aca="false">IF(G53="","",IF(G53&lt;=30,"0-30",IF(G53&lt;=60,"31-60",IF(G53&lt;=90,"61-90","90+"))))</f>
        <v>31-60</v>
      </c>
    </row>
    <row r="54" customFormat="false" ht="15" hidden="false" customHeight="true" outlineLevel="0" collapsed="false">
      <c r="A54" s="57" t="str">
        <f aca="false">IF(Customer_Invoices_Upload!$I$8&lt;&gt;"Paid",Customer_Invoices_Upload!$B$8,"")</f>
        <v/>
      </c>
      <c r="B54" s="57" t="str">
        <f aca="false">IF(Customer_Invoices_Upload!$I$8&lt;&gt;"Paid",Customer_Invoices_Upload!$C$8,"")</f>
        <v/>
      </c>
      <c r="C54" s="58" t="str">
        <f aca="false">IF(Customer_Invoices_Upload!$I$8&lt;&gt;"Paid",Customer_Invoices_Upload!$E$8,"")</f>
        <v/>
      </c>
      <c r="D54" s="58" t="str">
        <f aca="false">IF(C54="","",IFERROR(VLOOKUP(C54,Assumptions!$G$5:$H$16,2,0),"Other"))</f>
        <v/>
      </c>
      <c r="E54" s="59" t="str">
        <f aca="false">IF(Customer_Invoices_Upload!$I$8&lt;&gt;"Paid",Customer_Invoices_Upload!$H$8,"")</f>
        <v/>
      </c>
      <c r="F54" s="58" t="str">
        <f aca="false">IF(Customer_Invoices_Upload!$I$8&lt;&gt;"Paid",Customer_Invoices_Upload!$I$8,"")</f>
        <v/>
      </c>
      <c r="G54" s="58" t="str">
        <f aca="false">IF(B54="","",MAX($C$4-B54,0))</f>
        <v/>
      </c>
      <c r="H54" s="34" t="str">
        <f aca="false">IF(G54="","",IF(G54&lt;=30,"0-30",IF(G54&lt;=60,"31-60",IF(G54&lt;=90,"61-90","90+"))))</f>
        <v/>
      </c>
    </row>
    <row r="55" customFormat="false" ht="15" hidden="false" customHeight="true" outlineLevel="0" collapsed="false">
      <c r="A55" s="57" t="n">
        <f aca="false">IF(Customer_Invoices_Upload!$I$9&lt;&gt;"Paid",Customer_Invoices_Upload!$B$9,"")</f>
        <v>46144</v>
      </c>
      <c r="B55" s="57" t="n">
        <f aca="false">IF(Customer_Invoices_Upload!$I$9&lt;&gt;"Paid",Customer_Invoices_Upload!$C$9,"")</f>
        <v>46174</v>
      </c>
      <c r="C55" s="58" t="str">
        <f aca="false">IF(Customer_Invoices_Upload!$I$9&lt;&gt;"Paid",Customer_Invoices_Upload!$E$9,"")</f>
        <v>Growth X Ventures LLC</v>
      </c>
      <c r="D55" s="58" t="str">
        <f aca="false">IF(C55="","",IFERROR(VLOOKUP(C55,Assumptions!$G$5:$H$16,2,0),"Other"))</f>
        <v>UAE</v>
      </c>
      <c r="E55" s="59" t="n">
        <f aca="false">IF(Customer_Invoices_Upload!$I$9&lt;&gt;"Paid",Customer_Invoices_Upload!$H$9,"")</f>
        <v>13175.39</v>
      </c>
      <c r="F55" s="58" t="str">
        <f aca="false">IF(Customer_Invoices_Upload!$I$9&lt;&gt;"Paid",Customer_Invoices_Upload!$I$9,"")</f>
        <v>Awaiting Payment</v>
      </c>
      <c r="G55" s="58" t="n">
        <f aca="false">IF(B55="","",MAX($C$4-B55,0))</f>
        <v>29</v>
      </c>
      <c r="H55" s="34" t="str">
        <f aca="false">IF(G55="","",IF(G55&lt;=30,"0-30",IF(G55&lt;=60,"31-60",IF(G55&lt;=90,"61-90","90+"))))</f>
        <v>0-30</v>
      </c>
    </row>
    <row r="56" customFormat="false" ht="15" hidden="false" customHeight="true" outlineLevel="0" collapsed="false">
      <c r="A56" s="57" t="str">
        <f aca="false">IF(Customer_Invoices_Upload!$I$10&lt;&gt;"Paid",Customer_Invoices_Upload!$B$10,"")</f>
        <v/>
      </c>
      <c r="B56" s="57" t="str">
        <f aca="false">IF(Customer_Invoices_Upload!$I$10&lt;&gt;"Paid",Customer_Invoices_Upload!$C$10,"")</f>
        <v/>
      </c>
      <c r="C56" s="58" t="str">
        <f aca="false">IF(Customer_Invoices_Upload!$I$10&lt;&gt;"Paid",Customer_Invoices_Upload!$E$10,"")</f>
        <v/>
      </c>
      <c r="D56" s="58" t="str">
        <f aca="false">IF(C56="","",IFERROR(VLOOKUP(C56,Assumptions!$G$5:$H$16,2,0),"Other"))</f>
        <v/>
      </c>
      <c r="E56" s="59" t="str">
        <f aca="false">IF(Customer_Invoices_Upload!$I$10&lt;&gt;"Paid",Customer_Invoices_Upload!$H$10,"")</f>
        <v/>
      </c>
      <c r="F56" s="58" t="str">
        <f aca="false">IF(Customer_Invoices_Upload!$I$10&lt;&gt;"Paid",Customer_Invoices_Upload!$I$10,"")</f>
        <v/>
      </c>
      <c r="G56" s="58" t="str">
        <f aca="false">IF(B56="","",MAX($C$4-B56,0))</f>
        <v/>
      </c>
      <c r="H56" s="34" t="str">
        <f aca="false">IF(G56="","",IF(G56&lt;=30,"0-30",IF(G56&lt;=60,"31-60",IF(G56&lt;=90,"61-90","90+"))))</f>
        <v/>
      </c>
    </row>
    <row r="57" customFormat="false" ht="15" hidden="false" customHeight="true" outlineLevel="0" collapsed="false">
      <c r="A57" s="57" t="str">
        <f aca="false">IF(Customer_Invoices_Upload!$I$11&lt;&gt;"Paid",Customer_Invoices_Upload!$B$11,"")</f>
        <v/>
      </c>
      <c r="B57" s="57" t="str">
        <f aca="false">IF(Customer_Invoices_Upload!$I$11&lt;&gt;"Paid",Customer_Invoices_Upload!$C$11,"")</f>
        <v/>
      </c>
      <c r="C57" s="58" t="str">
        <f aca="false">IF(Customer_Invoices_Upload!$I$11&lt;&gt;"Paid",Customer_Invoices_Upload!$E$11,"")</f>
        <v/>
      </c>
      <c r="D57" s="58" t="str">
        <f aca="false">IF(C57="","",IFERROR(VLOOKUP(C57,Assumptions!$G$5:$H$16,2,0),"Other"))</f>
        <v/>
      </c>
      <c r="E57" s="59" t="str">
        <f aca="false">IF(Customer_Invoices_Upload!$I$11&lt;&gt;"Paid",Customer_Invoices_Upload!$H$11,"")</f>
        <v/>
      </c>
      <c r="F57" s="58" t="str">
        <f aca="false">IF(Customer_Invoices_Upload!$I$11&lt;&gt;"Paid",Customer_Invoices_Upload!$I$11,"")</f>
        <v/>
      </c>
      <c r="G57" s="58" t="str">
        <f aca="false">IF(B57="","",MAX($C$4-B57,0))</f>
        <v/>
      </c>
      <c r="H57" s="34" t="str">
        <f aca="false">IF(G57="","",IF(G57&lt;=30,"0-30",IF(G57&lt;=60,"31-60",IF(G57&lt;=90,"61-90","90+"))))</f>
        <v/>
      </c>
    </row>
    <row r="58" customFormat="false" ht="15" hidden="false" customHeight="true" outlineLevel="0" collapsed="false">
      <c r="A58" s="57" t="n">
        <f aca="false">IF(Customer_Invoices_Upload!$I$12&lt;&gt;"Paid",Customer_Invoices_Upload!$B$12,"")</f>
        <v>46147</v>
      </c>
      <c r="B58" s="57" t="n">
        <f aca="false">IF(Customer_Invoices_Upload!$I$12&lt;&gt;"Paid",Customer_Invoices_Upload!$C$12,"")</f>
        <v>46177</v>
      </c>
      <c r="C58" s="58" t="str">
        <f aca="false">IF(Customer_Invoices_Upload!$I$12&lt;&gt;"Paid",Customer_Invoices_Upload!$E$12,"")</f>
        <v>Misfit Technologies Pte Ltd</v>
      </c>
      <c r="D58" s="58" t="str">
        <f aca="false">IF(C58="","",IFERROR(VLOOKUP(C58,Assumptions!$G$5:$H$16,2,0),"Other"))</f>
        <v>Singapore</v>
      </c>
      <c r="E58" s="59" t="n">
        <f aca="false">IF(Customer_Invoices_Upload!$I$12&lt;&gt;"Paid",Customer_Invoices_Upload!$H$12,"")</f>
        <v>21750.95</v>
      </c>
      <c r="F58" s="58" t="str">
        <f aca="false">IF(Customer_Invoices_Upload!$I$12&lt;&gt;"Paid",Customer_Invoices_Upload!$I$12,"")</f>
        <v>Overdue</v>
      </c>
      <c r="G58" s="58" t="n">
        <f aca="false">IF(B58="","",MAX($C$4-B58,0))</f>
        <v>26</v>
      </c>
      <c r="H58" s="34" t="str">
        <f aca="false">IF(G58="","",IF(G58&lt;=30,"0-30",IF(G58&lt;=60,"31-60",IF(G58&lt;=90,"61-90","90+"))))</f>
        <v>0-30</v>
      </c>
    </row>
    <row r="59" customFormat="false" ht="15" hidden="false" customHeight="true" outlineLevel="0" collapsed="false">
      <c r="A59" s="57" t="n">
        <f aca="false">IF(Customer_Invoices_Upload!$I$13&lt;&gt;"Paid",Customer_Invoices_Upload!$B$13,"")</f>
        <v>46152</v>
      </c>
      <c r="B59" s="57" t="n">
        <f aca="false">IF(Customer_Invoices_Upload!$I$13&lt;&gt;"Paid",Customer_Invoices_Upload!$C$13,"")</f>
        <v>46182</v>
      </c>
      <c r="C59" s="58" t="str">
        <f aca="false">IF(Customer_Invoices_Upload!$I$13&lt;&gt;"Paid",Customer_Invoices_Upload!$E$13,"")</f>
        <v>I Farmer Pte Ltd</v>
      </c>
      <c r="D59" s="58" t="str">
        <f aca="false">IF(C59="","",IFERROR(VLOOKUP(C59,Assumptions!$G$5:$H$16,2,0),"Other"))</f>
        <v>Singapore</v>
      </c>
      <c r="E59" s="59" t="n">
        <f aca="false">IF(Customer_Invoices_Upload!$I$13&lt;&gt;"Paid",Customer_Invoices_Upload!$H$13,"")</f>
        <v>14640.03</v>
      </c>
      <c r="F59" s="58" t="str">
        <f aca="false">IF(Customer_Invoices_Upload!$I$13&lt;&gt;"Paid",Customer_Invoices_Upload!$I$13,"")</f>
        <v>Awaiting Payment</v>
      </c>
      <c r="G59" s="58" t="n">
        <f aca="false">IF(B59="","",MAX($C$4-B59,0))</f>
        <v>21</v>
      </c>
      <c r="H59" s="34" t="str">
        <f aca="false">IF(G59="","",IF(G59&lt;=30,"0-30",IF(G59&lt;=60,"31-60",IF(G59&lt;=90,"61-90","90+"))))</f>
        <v>0-30</v>
      </c>
    </row>
    <row r="60" customFormat="false" ht="15" hidden="false" customHeight="true" outlineLevel="0" collapsed="false">
      <c r="A60" s="57" t="n">
        <f aca="false">IF(Customer_Invoices_Upload!$I$14&lt;&gt;"Paid",Customer_Invoices_Upload!$B$14,"")</f>
        <v>46190</v>
      </c>
      <c r="B60" s="57" t="n">
        <f aca="false">IF(Customer_Invoices_Upload!$I$14&lt;&gt;"Paid",Customer_Invoices_Upload!$C$14,"")</f>
        <v>46220</v>
      </c>
      <c r="C60" s="58" t="str">
        <f aca="false">IF(Customer_Invoices_Upload!$I$14&lt;&gt;"Paid",Customer_Invoices_Upload!$E$14,"")</f>
        <v>I Farmer Pte Ltd</v>
      </c>
      <c r="D60" s="58" t="str">
        <f aca="false">IF(C60="","",IFERROR(VLOOKUP(C60,Assumptions!$G$5:$H$16,2,0),"Other"))</f>
        <v>Singapore</v>
      </c>
      <c r="E60" s="59" t="n">
        <f aca="false">IF(Customer_Invoices_Upload!$I$14&lt;&gt;"Paid",Customer_Invoices_Upload!$H$14,"")</f>
        <v>13168.55</v>
      </c>
      <c r="F60" s="58" t="str">
        <f aca="false">IF(Customer_Invoices_Upload!$I$14&lt;&gt;"Paid",Customer_Invoices_Upload!$I$14,"")</f>
        <v>Overdue</v>
      </c>
      <c r="G60" s="58" t="n">
        <f aca="false">IF(B60="","",MAX($C$4-B60,0))</f>
        <v>0</v>
      </c>
      <c r="H60" s="34" t="str">
        <f aca="false">IF(G60="","",IF(G60&lt;=30,"0-30",IF(G60&lt;=60,"31-60",IF(G60&lt;=90,"61-90","90+"))))</f>
        <v>0-30</v>
      </c>
    </row>
    <row r="61" customFormat="false" ht="15" hidden="false" customHeight="true" outlineLevel="0" collapsed="false">
      <c r="A61" s="57" t="n">
        <f aca="false">IF(Customer_Invoices_Upload!$I$15&lt;&gt;"Paid",Customer_Invoices_Upload!$B$15,"")</f>
        <v>46178</v>
      </c>
      <c r="B61" s="57" t="n">
        <f aca="false">IF(Customer_Invoices_Upload!$I$15&lt;&gt;"Paid",Customer_Invoices_Upload!$C$15,"")</f>
        <v>46208</v>
      </c>
      <c r="C61" s="58" t="str">
        <f aca="false">IF(Customer_Invoices_Upload!$I$15&lt;&gt;"Paid",Customer_Invoices_Upload!$E$15,"")</f>
        <v>Al Fardan Exchange - Sole Proprietorship L.L.C</v>
      </c>
      <c r="D61" s="58" t="str">
        <f aca="false">IF(C61="","",IFERROR(VLOOKUP(C61,Assumptions!$G$5:$H$16,2,0),"Other"))</f>
        <v>UAE</v>
      </c>
      <c r="E61" s="59" t="n">
        <f aca="false">IF(Customer_Invoices_Upload!$I$15&lt;&gt;"Paid",Customer_Invoices_Upload!$H$15,"")</f>
        <v>2303.99</v>
      </c>
      <c r="F61" s="58" t="str">
        <f aca="false">IF(Customer_Invoices_Upload!$I$15&lt;&gt;"Paid",Customer_Invoices_Upload!$I$15,"")</f>
        <v>Overdue</v>
      </c>
      <c r="G61" s="58" t="n">
        <f aca="false">IF(B61="","",MAX($C$4-B61,0))</f>
        <v>0</v>
      </c>
      <c r="H61" s="34" t="str">
        <f aca="false">IF(G61="","",IF(G61&lt;=30,"0-30",IF(G61&lt;=60,"31-60",IF(G61&lt;=90,"61-90","90+"))))</f>
        <v>0-30</v>
      </c>
    </row>
    <row r="62" customFormat="false" ht="15" hidden="false" customHeight="true" outlineLevel="0" collapsed="false">
      <c r="A62" s="57" t="str">
        <f aca="false">IF(Customer_Invoices_Upload!$I$16&lt;&gt;"Paid",Customer_Invoices_Upload!$B$16,"")</f>
        <v/>
      </c>
      <c r="B62" s="57" t="str">
        <f aca="false">IF(Customer_Invoices_Upload!$I$16&lt;&gt;"Paid",Customer_Invoices_Upload!$C$16,"")</f>
        <v/>
      </c>
      <c r="C62" s="58" t="str">
        <f aca="false">IF(Customer_Invoices_Upload!$I$16&lt;&gt;"Paid",Customer_Invoices_Upload!$E$16,"")</f>
        <v/>
      </c>
      <c r="D62" s="58" t="str">
        <f aca="false">IF(C62="","",IFERROR(VLOOKUP(C62,Assumptions!$G$5:$H$16,2,0),"Other"))</f>
        <v/>
      </c>
      <c r="E62" s="59" t="str">
        <f aca="false">IF(Customer_Invoices_Upload!$I$16&lt;&gt;"Paid",Customer_Invoices_Upload!$H$16,"")</f>
        <v/>
      </c>
      <c r="F62" s="58" t="str">
        <f aca="false">IF(Customer_Invoices_Upload!$I$16&lt;&gt;"Paid",Customer_Invoices_Upload!$I$16,"")</f>
        <v/>
      </c>
      <c r="G62" s="58" t="str">
        <f aca="false">IF(B62="","",MAX($C$4-B62,0))</f>
        <v/>
      </c>
      <c r="H62" s="34" t="str">
        <f aca="false">IF(G62="","",IF(G62&lt;=30,"0-30",IF(G62&lt;=60,"31-60",IF(G62&lt;=90,"61-90","90+"))))</f>
        <v/>
      </c>
    </row>
    <row r="63" customFormat="false" ht="15" hidden="false" customHeight="true" outlineLevel="0" collapsed="false">
      <c r="A63" s="57" t="str">
        <f aca="false">IF(Customer_Invoices_Upload!$I$17&lt;&gt;"Paid",Customer_Invoices_Upload!$B$17,"")</f>
        <v/>
      </c>
      <c r="B63" s="57" t="str">
        <f aca="false">IF(Customer_Invoices_Upload!$I$17&lt;&gt;"Paid",Customer_Invoices_Upload!$C$17,"")</f>
        <v/>
      </c>
      <c r="C63" s="58" t="str">
        <f aca="false">IF(Customer_Invoices_Upload!$I$17&lt;&gt;"Paid",Customer_Invoices_Upload!$E$17,"")</f>
        <v/>
      </c>
      <c r="D63" s="58" t="str">
        <f aca="false">IF(C63="","",IFERROR(VLOOKUP(C63,Assumptions!$G$5:$H$16,2,0),"Other"))</f>
        <v/>
      </c>
      <c r="E63" s="59" t="str">
        <f aca="false">IF(Customer_Invoices_Upload!$I$17&lt;&gt;"Paid",Customer_Invoices_Upload!$H$17,"")</f>
        <v/>
      </c>
      <c r="F63" s="58" t="str">
        <f aca="false">IF(Customer_Invoices_Upload!$I$17&lt;&gt;"Paid",Customer_Invoices_Upload!$I$17,"")</f>
        <v/>
      </c>
      <c r="G63" s="58" t="str">
        <f aca="false">IF(B63="","",MAX($C$4-B63,0))</f>
        <v/>
      </c>
      <c r="H63" s="34" t="str">
        <f aca="false">IF(G63="","",IF(G63&lt;=30,"0-30",IF(G63&lt;=60,"31-60",IF(G63&lt;=90,"61-90","90+"))))</f>
        <v/>
      </c>
    </row>
    <row r="64" customFormat="false" ht="15" hidden="false" customHeight="true" outlineLevel="0" collapsed="false">
      <c r="A64" s="57" t="str">
        <f aca="false">IF(Customer_Invoices_Upload!$I$18&lt;&gt;"Paid",Customer_Invoices_Upload!$B$18,"")</f>
        <v/>
      </c>
      <c r="B64" s="57" t="str">
        <f aca="false">IF(Customer_Invoices_Upload!$I$18&lt;&gt;"Paid",Customer_Invoices_Upload!$C$18,"")</f>
        <v/>
      </c>
      <c r="C64" s="58" t="str">
        <f aca="false">IF(Customer_Invoices_Upload!$I$18&lt;&gt;"Paid",Customer_Invoices_Upload!$E$18,"")</f>
        <v/>
      </c>
      <c r="D64" s="58" t="str">
        <f aca="false">IF(C64="","",IFERROR(VLOOKUP(C64,Assumptions!$G$5:$H$16,2,0),"Other"))</f>
        <v/>
      </c>
      <c r="E64" s="59" t="str">
        <f aca="false">IF(Customer_Invoices_Upload!$I$18&lt;&gt;"Paid",Customer_Invoices_Upload!$H$18,"")</f>
        <v/>
      </c>
      <c r="F64" s="58" t="str">
        <f aca="false">IF(Customer_Invoices_Upload!$I$18&lt;&gt;"Paid",Customer_Invoices_Upload!$I$18,"")</f>
        <v/>
      </c>
      <c r="G64" s="58" t="str">
        <f aca="false">IF(B64="","",MAX($C$4-B64,0))</f>
        <v/>
      </c>
      <c r="H64" s="34" t="str">
        <f aca="false">IF(G64="","",IF(G64&lt;=30,"0-30",IF(G64&lt;=60,"31-60",IF(G64&lt;=90,"61-90","90+"))))</f>
        <v/>
      </c>
    </row>
    <row r="66" customFormat="false" ht="15" hidden="false" customHeight="true" outlineLevel="0" collapsed="false">
      <c r="A66" s="55" t="s">
        <v>478</v>
      </c>
    </row>
    <row r="67" customFormat="false" ht="19.5" hidden="false" customHeight="true" outlineLevel="0" collapsed="false">
      <c r="A67" s="56" t="s">
        <v>289</v>
      </c>
      <c r="B67" s="56" t="s">
        <v>440</v>
      </c>
      <c r="C67" s="56" t="s">
        <v>441</v>
      </c>
      <c r="D67" s="56" t="s">
        <v>442</v>
      </c>
      <c r="E67" s="56" t="s">
        <v>443</v>
      </c>
      <c r="F67" s="56" t="s">
        <v>444</v>
      </c>
    </row>
    <row r="68" customFormat="false" ht="15" hidden="false" customHeight="true" outlineLevel="0" collapsed="false">
      <c r="A68" s="49" t="s">
        <v>292</v>
      </c>
      <c r="B68" s="60" t="n">
        <f aca="false">SUMIFS($E$8:$E$46,$D$8:$D$46,"UAE",$H$8:$H$46,"0-30")+SUMIFS($E$50:$E$64,$D$50:$D$64,"UAE",$H$50:$H$64,"0-30")</f>
        <v>108545.79</v>
      </c>
      <c r="C68" s="60" t="n">
        <f aca="false">SUMIFS($E$8:$E$46,$D$8:$D$46,"UAE",$H$8:$H$46,"31-60")+SUMIFS($E$50:$E$64,$D$50:$D$64,"UAE",$H$50:$H$64,"31-60")</f>
        <v>21445.48</v>
      </c>
      <c r="D68" s="60" t="n">
        <f aca="false">SUMIFS($E$8:$E$46,$D$8:$D$46,"UAE",$H$8:$H$46,"61-90")+SUMIFS($E$50:$E$64,$D$50:$D$64,"UAE",$H$50:$H$64,"61-90")</f>
        <v>0</v>
      </c>
      <c r="E68" s="60" t="n">
        <f aca="false">SUMIFS($E$8:$E$46,$D$8:$D$46,"UAE",$H$8:$H$46,"90+")+SUMIFS($E$50:$E$64,$D$50:$D$64,"UAE",$H$50:$H$64,"90+")</f>
        <v>0</v>
      </c>
      <c r="F68" s="61" t="n">
        <f aca="false">SUM(B68:E68)</f>
        <v>129991.27</v>
      </c>
    </row>
    <row r="69" customFormat="false" ht="15" hidden="false" customHeight="true" outlineLevel="0" collapsed="false">
      <c r="A69" s="49" t="s">
        <v>299</v>
      </c>
      <c r="B69" s="60" t="n">
        <f aca="false">SUMIFS($E$8:$E$46,$D$8:$D$46,"Singapore",$H$8:$H$46,"0-30")+SUMIFS($E$50:$E$64,$D$50:$D$64,"Singapore",$H$50:$H$64,"0-30")</f>
        <v>78140.09</v>
      </c>
      <c r="C69" s="60" t="n">
        <f aca="false">SUMIFS($E$8:$E$46,$D$8:$D$46,"Singapore",$H$8:$H$46,"31-60")+SUMIFS($E$50:$E$64,$D$50:$D$64,"Singapore",$H$50:$H$64,"31-60")</f>
        <v>54965.12</v>
      </c>
      <c r="D69" s="60" t="n">
        <f aca="false">SUMIFS($E$8:$E$46,$D$8:$D$46,"Singapore",$H$8:$H$46,"61-90")+SUMIFS($E$50:$E$64,$D$50:$D$64,"Singapore",$H$50:$H$64,"61-90")</f>
        <v>0</v>
      </c>
      <c r="E69" s="60" t="n">
        <f aca="false">SUMIFS($E$8:$E$46,$D$8:$D$46,"Singapore",$H$8:$H$46,"90+")+SUMIFS($E$50:$E$64,$D$50:$D$64,"Singapore",$H$50:$H$64,"90+")</f>
        <v>0</v>
      </c>
      <c r="F69" s="61" t="n">
        <f aca="false">SUM(B69:E69)</f>
        <v>133105.21</v>
      </c>
    </row>
    <row r="70" customFormat="false" ht="15" hidden="false" customHeight="true" outlineLevel="0" collapsed="false">
      <c r="A70" s="49" t="s">
        <v>479</v>
      </c>
      <c r="B70" s="60" t="n">
        <f aca="false">SUMIFS($E$8:$E$46,$D$8:$D$46,"&lt;&gt;UAE",$D$8:$D$46,"&lt;&gt;Singapore",$D$8:$D$46,"&lt;&gt;",$H$8:$H$46,"0-30")+SUMIFS($E$50:$E$64,$D$50:$D$64,"&lt;&gt;UAE",$D$50:$D$64,"&lt;&gt;Singapore",$D$50:$D$64,"&lt;&gt;",$H$50:$H$64,"0-30")</f>
        <v>197625.74</v>
      </c>
      <c r="C70" s="60" t="n">
        <f aca="false">SUMIFS($E$8:$E$46,$D$8:$D$46,"&lt;&gt;UAE",$D$8:$D$46,"&lt;&gt;Singapore",$D$8:$D$46,"&lt;&gt;",$H$8:$H$46,"31-60")+SUMIFS($E$50:$E$64,$D$50:$D$64,"&lt;&gt;UAE",$D$50:$D$64,"&lt;&gt;Singapore",$D$50:$D$64,"&lt;&gt;",$H$50:$H$64,"31-60")</f>
        <v>5515.54</v>
      </c>
      <c r="D70" s="60" t="n">
        <f aca="false">SUMIFS($E$8:$E$46,$D$8:$D$46,"&lt;&gt;UAE",$D$8:$D$46,"&lt;&gt;Singapore",$D$8:$D$46,"&lt;&gt;",$H$8:$H$46,"61-90")+SUMIFS($E$50:$E$64,$D$50:$D$64,"&lt;&gt;UAE",$D$50:$D$64,"&lt;&gt;Singapore",$D$50:$D$64,"&lt;&gt;",$H$50:$H$64,"61-90")</f>
        <v>0</v>
      </c>
      <c r="E70" s="60" t="n">
        <f aca="false">SUMIFS($E$8:$E$46,$D$8:$D$46,"&lt;&gt;UAE",$D$8:$D$46,"&lt;&gt;Singapore",$D$8:$D$46,"&lt;&gt;",$H$8:$H$46,"90+")+SUMIFS($E$50:$E$64,$D$50:$D$64,"&lt;&gt;UAE",$D$50:$D$64,"&lt;&gt;Singapore",$D$50:$D$64,"&lt;&gt;",$H$50:$H$64,"90+")</f>
        <v>0</v>
      </c>
      <c r="F70" s="61" t="n">
        <f aca="false">SUM(B70:E70)</f>
        <v>203141.28</v>
      </c>
    </row>
    <row r="71" customFormat="false" ht="15" hidden="false" customHeight="true" outlineLevel="0" collapsed="false">
      <c r="A71" s="62" t="s">
        <v>480</v>
      </c>
      <c r="B71" s="63" t="n">
        <f aca="false">SUM(B68:B70)</f>
        <v>384311.62</v>
      </c>
      <c r="C71" s="63" t="n">
        <f aca="false">SUM(C68:C70)</f>
        <v>81926.14</v>
      </c>
      <c r="D71" s="63" t="n">
        <f aca="false">SUM(D68:D70)</f>
        <v>0</v>
      </c>
      <c r="E71" s="63" t="n">
        <f aca="false">SUM(E68:E70)</f>
        <v>0</v>
      </c>
      <c r="F71" s="63" t="n">
        <f aca="false">SUM(F68:F70)</f>
        <v>466237.76</v>
      </c>
    </row>
    <row r="73" customFormat="false" ht="15" hidden="false" customHeight="true" outlineLevel="0" collapsed="false">
      <c r="A73" s="55" t="s">
        <v>481</v>
      </c>
    </row>
    <row r="74" customFormat="false" ht="19.5" hidden="false" customHeight="true" outlineLevel="0" collapsed="false">
      <c r="A74" s="56" t="s">
        <v>107</v>
      </c>
      <c r="B74" s="56" t="s">
        <v>289</v>
      </c>
      <c r="C74" s="56" t="s">
        <v>482</v>
      </c>
    </row>
    <row r="75" customFormat="false" ht="15" hidden="false" customHeight="true" outlineLevel="0" collapsed="false">
      <c r="A75" s="34" t="s">
        <v>148</v>
      </c>
      <c r="B75" s="58" t="str">
        <f aca="false">IFERROR(VLOOKUP(A75,Assumptions!$G$5:$H$16,2,0),"Other")</f>
        <v>UAE</v>
      </c>
      <c r="C75" s="61" t="n">
        <f aca="false">SUMIFS($E$8:$E$46,$C$8:$C$46,A75)+SUMIFS($E$50:$E$64,$C$50:$C$64,A75)</f>
        <v>54914.79</v>
      </c>
    </row>
    <row r="76" customFormat="false" ht="15" hidden="false" customHeight="true" outlineLevel="0" collapsed="false">
      <c r="A76" s="34" t="s">
        <v>124</v>
      </c>
      <c r="B76" s="58" t="str">
        <f aca="false">IFERROR(VLOOKUP(A76,Assumptions!$G$5:$H$16,2,0),"Other")</f>
        <v>UAE</v>
      </c>
      <c r="C76" s="61" t="n">
        <f aca="false">SUMIFS($E$8:$E$46,$C$8:$C$46,A76)+SUMIFS($E$50:$E$64,$C$50:$C$64,A76)</f>
        <v>0</v>
      </c>
    </row>
    <row r="77" customFormat="false" ht="15" hidden="false" customHeight="true" outlineLevel="0" collapsed="false">
      <c r="A77" s="34" t="s">
        <v>121</v>
      </c>
      <c r="B77" s="58" t="str">
        <f aca="false">IFERROR(VLOOKUP(A77,Assumptions!$G$5:$H$16,2,0),"Other")</f>
        <v>Saudi Arabia</v>
      </c>
      <c r="C77" s="61" t="n">
        <f aca="false">SUMIFS($E$8:$E$46,$C$8:$C$46,A77)+SUMIFS($E$50:$E$64,$C$50:$C$64,A77)</f>
        <v>0</v>
      </c>
    </row>
    <row r="78" customFormat="false" ht="15" hidden="false" customHeight="true" outlineLevel="0" collapsed="false">
      <c r="A78" s="34" t="s">
        <v>127</v>
      </c>
      <c r="B78" s="58" t="str">
        <f aca="false">IFERROR(VLOOKUP(A78,Assumptions!$G$5:$H$16,2,0),"Other")</f>
        <v>UAE</v>
      </c>
      <c r="C78" s="61" t="n">
        <f aca="false">SUMIFS($E$8:$E$46,$C$8:$C$46,A78)+SUMIFS($E$50:$E$64,$C$50:$C$64,A78)</f>
        <v>0</v>
      </c>
    </row>
    <row r="79" customFormat="false" ht="15" hidden="false" customHeight="true" outlineLevel="0" collapsed="false">
      <c r="A79" s="34" t="s">
        <v>130</v>
      </c>
      <c r="B79" s="58" t="str">
        <f aca="false">IFERROR(VLOOKUP(A79,Assumptions!$G$5:$H$16,2,0),"Other")</f>
        <v>UAE</v>
      </c>
      <c r="C79" s="61" t="n">
        <f aca="false">SUMIFS($E$8:$E$46,$C$8:$C$46,A79)+SUMIFS($E$50:$E$64,$C$50:$C$64,A79)</f>
        <v>13175.39</v>
      </c>
    </row>
    <row r="80" customFormat="false" ht="15" hidden="false" customHeight="true" outlineLevel="0" collapsed="false">
      <c r="A80" s="34" t="s">
        <v>132</v>
      </c>
      <c r="B80" s="58" t="str">
        <f aca="false">IFERROR(VLOOKUP(A80,Assumptions!$G$5:$H$16,2,0),"Other")</f>
        <v>Singapore</v>
      </c>
      <c r="C80" s="61" t="n">
        <f aca="false">SUMIFS($E$8:$E$46,$C$8:$C$46,A80)+SUMIFS($E$50:$E$64,$C$50:$C$64,A80)</f>
        <v>56389.14</v>
      </c>
    </row>
    <row r="81" customFormat="false" ht="15" hidden="false" customHeight="true" outlineLevel="0" collapsed="false">
      <c r="A81" s="34" t="s">
        <v>158</v>
      </c>
      <c r="B81" s="58" t="str">
        <f aca="false">IFERROR(VLOOKUP(A81,Assumptions!$G$5:$H$16,2,0),"Other")</f>
        <v>Singapore</v>
      </c>
      <c r="C81" s="61" t="n">
        <f aca="false">SUMIFS($E$8:$E$46,$C$8:$C$46,A81)+SUMIFS($E$50:$E$64,$C$50:$C$64,A81)</f>
        <v>76716.07</v>
      </c>
    </row>
    <row r="82" customFormat="false" ht="15" hidden="false" customHeight="true" outlineLevel="0" collapsed="false">
      <c r="A82" s="34" t="s">
        <v>178</v>
      </c>
      <c r="B82" s="58" t="str">
        <f aca="false">IFERROR(VLOOKUP(A82,Assumptions!$G$5:$H$16,2,0),"Other")</f>
        <v>Kuwait</v>
      </c>
      <c r="C82" s="61" t="n">
        <f aca="false">SUMIFS($E$8:$E$46,$C$8:$C$46,A82)+SUMIFS($E$50:$E$64,$C$50:$C$64,A82)</f>
        <v>42402.31</v>
      </c>
    </row>
    <row r="83" customFormat="false" ht="15" hidden="false" customHeight="true" outlineLevel="0" collapsed="false">
      <c r="A83" s="34" t="s">
        <v>146</v>
      </c>
      <c r="B83" s="58" t="str">
        <f aca="false">IFERROR(VLOOKUP(A83,Assumptions!$G$5:$H$16,2,0),"Other")</f>
        <v>Pakistan</v>
      </c>
      <c r="C83" s="61" t="n">
        <f aca="false">SUMIFS($E$8:$E$46,$C$8:$C$46,A83)+SUMIFS($E$50:$E$64,$C$50:$C$64,A83)</f>
        <v>37477.31</v>
      </c>
    </row>
    <row r="84" customFormat="false" ht="15" hidden="false" customHeight="true" outlineLevel="0" collapsed="false">
      <c r="A84" s="34" t="s">
        <v>136</v>
      </c>
      <c r="B84" s="58" t="str">
        <f aca="false">IFERROR(VLOOKUP(A84,Assumptions!$G$5:$H$16,2,0),"Other")</f>
        <v>UAE</v>
      </c>
      <c r="C84" s="61" t="n">
        <f aca="false">SUMIFS($E$8:$E$46,$C$8:$C$46,A84)+SUMIFS($E$50:$E$64,$C$50:$C$64,A84)</f>
        <v>61901.09</v>
      </c>
    </row>
    <row r="85" customFormat="false" ht="15" hidden="false" customHeight="true" outlineLevel="0" collapsed="false">
      <c r="A85" s="34" t="s">
        <v>116</v>
      </c>
      <c r="B85" s="58" t="str">
        <f aca="false">IFERROR(VLOOKUP(A85,Assumptions!$G$5:$H$16,2,0),"Other")</f>
        <v>Saudi Arabia</v>
      </c>
      <c r="C85" s="61" t="n">
        <f aca="false">SUMIFS($E$8:$E$46,$C$8:$C$46,A85)+SUMIFS($E$50:$E$64,$C$50:$C$64,A85)</f>
        <v>63590.63</v>
      </c>
    </row>
    <row r="86" customFormat="false" ht="15" hidden="false" customHeight="true" outlineLevel="0" collapsed="false">
      <c r="A86" s="34" t="s">
        <v>144</v>
      </c>
      <c r="B86" s="58" t="str">
        <f aca="false">IFERROR(VLOOKUP(A86,Assumptions!$G$5:$H$16,2,0),"Other")</f>
        <v>Pakistan</v>
      </c>
      <c r="C86" s="61" t="n">
        <f aca="false">SUMIFS($E$8:$E$46,$C$8:$C$46,A86)+SUMIFS($E$50:$E$64,$C$50:$C$64,A86)</f>
        <v>59671.03</v>
      </c>
    </row>
    <row r="87" customFormat="false" ht="15" hidden="false" customHeight="true" outlineLevel="0" collapsed="false">
      <c r="A87" s="62" t="s">
        <v>451</v>
      </c>
      <c r="C87" s="63" t="n">
        <f aca="false">SUM(C75:C86)</f>
        <v>466237.76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5BFF"/>
    <pageSetUpPr fitToPage="false"/>
  </sheetPr>
  <dimension ref="A1: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12"/>
    <col collapsed="false" customWidth="true" hidden="false" outlineLevel="0" max="4" min="4" style="0" width="34"/>
    <col collapsed="false" customWidth="true" hidden="false" outlineLevel="0" max="5" min="5" style="0" width="30"/>
    <col collapsed="false" customWidth="true" hidden="false" outlineLevel="0" max="6" min="6" style="0" width="14"/>
    <col collapsed="false" customWidth="true" hidden="false" outlineLevel="0" max="7" min="7" style="0" width="13"/>
  </cols>
  <sheetData>
    <row r="1" customFormat="false" ht="15" hidden="false" customHeight="false" outlineLevel="0" collapsed="false">
      <c r="A1" s="72" t="s">
        <v>483</v>
      </c>
      <c r="B1" s="72"/>
      <c r="C1" s="72"/>
      <c r="D1" s="72"/>
      <c r="E1" s="72"/>
      <c r="F1" s="72"/>
      <c r="G1" s="72"/>
      <c r="H1" s="72"/>
      <c r="I1" s="72"/>
      <c r="J1" s="72"/>
      <c r="K1" s="72"/>
    </row>
    <row r="2" customFormat="false" ht="30" hidden="false" customHeight="true" outlineLevel="0" collapsed="false">
      <c r="A2" s="52" t="s">
        <v>484</v>
      </c>
      <c r="B2" s="52"/>
      <c r="C2" s="52"/>
      <c r="D2" s="52"/>
      <c r="E2" s="52"/>
      <c r="F2" s="52"/>
      <c r="G2" s="52"/>
      <c r="H2" s="52"/>
      <c r="I2" s="52"/>
      <c r="J2" s="52"/>
      <c r="K2" s="52"/>
    </row>
    <row r="3" customFormat="false" ht="21.75" hidden="false" customHeight="true" outlineLevel="0" collapsed="false">
      <c r="A3" s="30" t="s">
        <v>231</v>
      </c>
      <c r="B3" s="30" t="s">
        <v>169</v>
      </c>
      <c r="C3" s="30" t="s">
        <v>232</v>
      </c>
      <c r="D3" s="30" t="s">
        <v>107</v>
      </c>
      <c r="E3" s="30" t="s">
        <v>108</v>
      </c>
      <c r="F3" s="30" t="s">
        <v>174</v>
      </c>
      <c r="G3" s="30" t="s">
        <v>114</v>
      </c>
    </row>
    <row r="4" customFormat="false" ht="15" hidden="false" customHeight="false" outlineLevel="0" collapsed="false">
      <c r="A4" s="73" t="n">
        <v>46116</v>
      </c>
      <c r="B4" s="73" t="n">
        <v>46131</v>
      </c>
      <c r="C4" s="74" t="s">
        <v>485</v>
      </c>
      <c r="D4" s="74" t="s">
        <v>148</v>
      </c>
      <c r="E4" s="74" t="s">
        <v>176</v>
      </c>
      <c r="F4" s="75" t="n">
        <v>7375.79</v>
      </c>
      <c r="G4" s="74" t="s">
        <v>120</v>
      </c>
    </row>
    <row r="5" customFormat="false" ht="15" hidden="false" customHeight="false" outlineLevel="0" collapsed="false">
      <c r="A5" s="73" t="n">
        <v>46116</v>
      </c>
      <c r="B5" s="73" t="n">
        <v>46131</v>
      </c>
      <c r="C5" s="74" t="s">
        <v>486</v>
      </c>
      <c r="D5" s="74" t="s">
        <v>148</v>
      </c>
      <c r="E5" s="74" t="s">
        <v>342</v>
      </c>
      <c r="F5" s="75" t="n">
        <v>5316.91</v>
      </c>
      <c r="G5" s="74" t="s">
        <v>120</v>
      </c>
    </row>
    <row r="6" customFormat="false" ht="15" hidden="false" customHeight="false" outlineLevel="0" collapsed="false">
      <c r="A6" s="73" t="n">
        <v>46114</v>
      </c>
      <c r="B6" s="73" t="n">
        <v>46129</v>
      </c>
      <c r="C6" s="74" t="s">
        <v>487</v>
      </c>
      <c r="D6" s="74" t="s">
        <v>132</v>
      </c>
      <c r="E6" s="74" t="s">
        <v>180</v>
      </c>
      <c r="F6" s="75" t="n">
        <v>6459.5</v>
      </c>
      <c r="G6" s="74" t="s">
        <v>120</v>
      </c>
    </row>
    <row r="7" customFormat="false" ht="15" hidden="false" customHeight="false" outlineLevel="0" collapsed="false">
      <c r="A7" s="73" t="n">
        <v>46127</v>
      </c>
      <c r="B7" s="73" t="n">
        <v>46142</v>
      </c>
      <c r="C7" s="74" t="s">
        <v>488</v>
      </c>
      <c r="D7" s="74" t="s">
        <v>158</v>
      </c>
      <c r="E7" s="74" t="s">
        <v>180</v>
      </c>
      <c r="F7" s="75" t="n">
        <v>5234.62</v>
      </c>
      <c r="G7" s="74" t="s">
        <v>489</v>
      </c>
    </row>
    <row r="8" customFormat="false" ht="15" hidden="false" customHeight="false" outlineLevel="0" collapsed="false">
      <c r="A8" s="73" t="n">
        <v>46113</v>
      </c>
      <c r="B8" s="73" t="n">
        <v>46128</v>
      </c>
      <c r="C8" s="74" t="s">
        <v>490</v>
      </c>
      <c r="D8" s="74" t="s">
        <v>124</v>
      </c>
      <c r="E8" s="74" t="s">
        <v>342</v>
      </c>
      <c r="F8" s="75" t="n">
        <v>7432.23</v>
      </c>
      <c r="G8" s="74" t="s">
        <v>181</v>
      </c>
    </row>
    <row r="9" customFormat="false" ht="15" hidden="false" customHeight="false" outlineLevel="0" collapsed="false">
      <c r="A9" s="73" t="n">
        <v>46119</v>
      </c>
      <c r="B9" s="73" t="n">
        <v>46134</v>
      </c>
      <c r="C9" s="74" t="s">
        <v>491</v>
      </c>
      <c r="D9" s="74" t="s">
        <v>130</v>
      </c>
      <c r="E9" s="74" t="s">
        <v>342</v>
      </c>
      <c r="F9" s="75" t="n">
        <v>3472.78</v>
      </c>
      <c r="G9" s="74" t="s">
        <v>177</v>
      </c>
    </row>
    <row r="10" customFormat="false" ht="15" hidden="false" customHeight="false" outlineLevel="0" collapsed="false">
      <c r="A10" s="73" t="n">
        <v>46149</v>
      </c>
      <c r="B10" s="73" t="n">
        <v>46164</v>
      </c>
      <c r="C10" s="74" t="s">
        <v>492</v>
      </c>
      <c r="D10" s="74" t="s">
        <v>158</v>
      </c>
      <c r="E10" s="74" t="s">
        <v>200</v>
      </c>
      <c r="F10" s="75" t="n">
        <v>4247.04</v>
      </c>
      <c r="G10" s="74" t="s">
        <v>120</v>
      </c>
    </row>
    <row r="11" customFormat="false" ht="15" hidden="false" customHeight="false" outlineLevel="0" collapsed="false">
      <c r="A11" s="73" t="n">
        <v>46154</v>
      </c>
      <c r="B11" s="73" t="n">
        <v>46169</v>
      </c>
      <c r="C11" s="74" t="s">
        <v>493</v>
      </c>
      <c r="D11" s="74" t="s">
        <v>148</v>
      </c>
      <c r="E11" s="74" t="s">
        <v>200</v>
      </c>
      <c r="F11" s="75" t="n">
        <v>1712.67</v>
      </c>
      <c r="G11" s="74" t="s">
        <v>120</v>
      </c>
    </row>
    <row r="12" customFormat="false" ht="15" hidden="false" customHeight="false" outlineLevel="0" collapsed="false">
      <c r="A12" s="73" t="n">
        <v>46145</v>
      </c>
      <c r="B12" s="73" t="n">
        <v>46160</v>
      </c>
      <c r="C12" s="74" t="s">
        <v>494</v>
      </c>
      <c r="D12" s="74" t="s">
        <v>121</v>
      </c>
      <c r="E12" s="74" t="s">
        <v>200</v>
      </c>
      <c r="F12" s="75" t="n">
        <v>7115.41</v>
      </c>
      <c r="G12" s="74" t="s">
        <v>495</v>
      </c>
    </row>
    <row r="13" customFormat="false" ht="15" hidden="false" customHeight="false" outlineLevel="0" collapsed="false">
      <c r="A13" s="73" t="n">
        <v>46156</v>
      </c>
      <c r="B13" s="73" t="n">
        <v>46171</v>
      </c>
      <c r="C13" s="74" t="s">
        <v>496</v>
      </c>
      <c r="D13" s="74" t="s">
        <v>158</v>
      </c>
      <c r="E13" s="74" t="s">
        <v>200</v>
      </c>
      <c r="F13" s="75" t="n">
        <v>7068.36</v>
      </c>
      <c r="G13" s="74" t="s">
        <v>489</v>
      </c>
    </row>
    <row r="14" customFormat="false" ht="15" hidden="false" customHeight="false" outlineLevel="0" collapsed="false">
      <c r="A14" s="73" t="n">
        <v>46150</v>
      </c>
      <c r="B14" s="73" t="n">
        <v>46165</v>
      </c>
      <c r="C14" s="74" t="s">
        <v>497</v>
      </c>
      <c r="D14" s="74" t="s">
        <v>130</v>
      </c>
      <c r="E14" s="74" t="s">
        <v>198</v>
      </c>
      <c r="F14" s="75" t="n">
        <v>4838.85</v>
      </c>
      <c r="G14" s="74" t="s">
        <v>489</v>
      </c>
    </row>
    <row r="15" customFormat="false" ht="15" hidden="false" customHeight="false" outlineLevel="0" collapsed="false">
      <c r="A15" s="73" t="n">
        <v>46153</v>
      </c>
      <c r="B15" s="73" t="n">
        <v>46168</v>
      </c>
      <c r="C15" s="74" t="s">
        <v>498</v>
      </c>
      <c r="D15" s="74" t="s">
        <v>130</v>
      </c>
      <c r="E15" s="74" t="s">
        <v>195</v>
      </c>
      <c r="F15" s="75" t="n">
        <v>5647.09</v>
      </c>
      <c r="G15" s="74" t="s">
        <v>495</v>
      </c>
    </row>
    <row r="16" customFormat="false" ht="15" hidden="false" customHeight="false" outlineLevel="0" collapsed="false">
      <c r="A16" s="73" t="n">
        <v>46177</v>
      </c>
      <c r="B16" s="73" t="n">
        <v>46192</v>
      </c>
      <c r="C16" s="74" t="s">
        <v>499</v>
      </c>
      <c r="D16" s="74" t="s">
        <v>130</v>
      </c>
      <c r="E16" s="74" t="s">
        <v>206</v>
      </c>
      <c r="F16" s="75" t="n">
        <v>7608.63</v>
      </c>
      <c r="G16" s="74" t="s">
        <v>489</v>
      </c>
    </row>
    <row r="17" customFormat="false" ht="15" hidden="false" customHeight="false" outlineLevel="0" collapsed="false">
      <c r="A17" s="73" t="n">
        <v>46193</v>
      </c>
      <c r="B17" s="73" t="n">
        <v>46208</v>
      </c>
      <c r="C17" s="74" t="s">
        <v>500</v>
      </c>
      <c r="D17" s="74" t="s">
        <v>132</v>
      </c>
      <c r="E17" s="74" t="s">
        <v>208</v>
      </c>
      <c r="F17" s="75" t="n">
        <v>8923.66</v>
      </c>
      <c r="G17" s="74" t="s">
        <v>489</v>
      </c>
    </row>
    <row r="18" customFormat="false" ht="15" hidden="false" customHeight="false" outlineLevel="0" collapsed="false">
      <c r="A18" s="73" t="n">
        <v>46180</v>
      </c>
      <c r="B18" s="73" t="n">
        <v>46195</v>
      </c>
      <c r="C18" s="74" t="s">
        <v>501</v>
      </c>
      <c r="D18" s="74" t="s">
        <v>124</v>
      </c>
      <c r="E18" s="74" t="s">
        <v>206</v>
      </c>
      <c r="F18" s="75" t="n">
        <v>758.82</v>
      </c>
      <c r="G18" s="74" t="s">
        <v>177</v>
      </c>
    </row>
    <row r="19" customFormat="false" ht="15" hidden="false" customHeight="false" outlineLevel="0" collapsed="false">
      <c r="A19" s="73" t="n">
        <v>46186</v>
      </c>
      <c r="B19" s="73" t="n">
        <v>46201</v>
      </c>
      <c r="C19" s="74" t="s">
        <v>502</v>
      </c>
      <c r="D19" s="74" t="s">
        <v>124</v>
      </c>
      <c r="E19" s="74" t="s">
        <v>208</v>
      </c>
      <c r="F19" s="75" t="n">
        <v>3063.34</v>
      </c>
      <c r="G19" s="74" t="s">
        <v>489</v>
      </c>
    </row>
    <row r="20" customFormat="false" ht="15" hidden="false" customHeight="false" outlineLevel="0" collapsed="false">
      <c r="A20" s="73" t="n">
        <v>46188</v>
      </c>
      <c r="B20" s="73" t="n">
        <v>46203</v>
      </c>
      <c r="C20" s="74" t="s">
        <v>503</v>
      </c>
      <c r="D20" s="74" t="s">
        <v>158</v>
      </c>
      <c r="E20" s="74" t="s">
        <v>206</v>
      </c>
      <c r="F20" s="75" t="n">
        <v>2323.41</v>
      </c>
      <c r="G20" s="74" t="s">
        <v>177</v>
      </c>
    </row>
    <row r="21" customFormat="false" ht="15" hidden="false" customHeight="false" outlineLevel="0" collapsed="false">
      <c r="A21" s="73" t="n">
        <v>46175</v>
      </c>
      <c r="B21" s="73" t="n">
        <v>46190</v>
      </c>
      <c r="C21" s="74" t="s">
        <v>504</v>
      </c>
      <c r="D21" s="74" t="s">
        <v>127</v>
      </c>
      <c r="E21" s="74" t="s">
        <v>209</v>
      </c>
      <c r="F21" s="75" t="n">
        <v>5555.12</v>
      </c>
      <c r="G21" s="74" t="s">
        <v>120</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A5A6"/>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
    <col collapsed="false" customWidth="true" hidden="false" outlineLevel="0" max="3" min="3" style="0" width="32"/>
    <col collapsed="false" customWidth="true" hidden="false" outlineLevel="0" max="4" min="4" style="0" width="16"/>
    <col collapsed="false" customWidth="true" hidden="false" outlineLevel="0" max="5" min="5" style="0" width="14"/>
    <col collapsed="false" customWidth="true" hidden="false" outlineLevel="0" max="6" min="6" style="0" width="15"/>
  </cols>
  <sheetData>
    <row r="1" customFormat="false" ht="15" hidden="false" customHeight="false" outlineLevel="0" collapsed="false">
      <c r="A1" s="72" t="s">
        <v>505</v>
      </c>
      <c r="B1" s="72"/>
      <c r="C1" s="72"/>
      <c r="D1" s="72"/>
      <c r="E1" s="72"/>
      <c r="F1" s="72"/>
      <c r="G1" s="72"/>
      <c r="H1" s="72"/>
      <c r="I1" s="72"/>
      <c r="J1" s="72"/>
      <c r="K1" s="72"/>
    </row>
    <row r="2" customFormat="false" ht="30" hidden="false" customHeight="true" outlineLevel="0" collapsed="false">
      <c r="A2" s="52" t="s">
        <v>506</v>
      </c>
      <c r="B2" s="52"/>
      <c r="C2" s="52"/>
      <c r="D2" s="52"/>
      <c r="E2" s="52"/>
      <c r="F2" s="52"/>
      <c r="G2" s="52"/>
      <c r="H2" s="52"/>
      <c r="I2" s="52"/>
      <c r="J2" s="52"/>
      <c r="K2" s="52"/>
    </row>
    <row r="3" customFormat="false" ht="21.75" hidden="false" customHeight="true" outlineLevel="0" collapsed="false">
      <c r="A3" s="30" t="s">
        <v>320</v>
      </c>
      <c r="B3" s="30" t="s">
        <v>106</v>
      </c>
      <c r="C3" s="30" t="s">
        <v>108</v>
      </c>
      <c r="D3" s="30" t="s">
        <v>507</v>
      </c>
      <c r="E3" s="30" t="s">
        <v>174</v>
      </c>
      <c r="F3" s="30" t="s">
        <v>115</v>
      </c>
    </row>
    <row r="4" customFormat="false" ht="15" hidden="false" customHeight="false" outlineLevel="0" collapsed="false">
      <c r="A4" s="74" t="s">
        <v>508</v>
      </c>
      <c r="B4" s="73" t="n">
        <v>46116</v>
      </c>
      <c r="C4" s="74" t="s">
        <v>509</v>
      </c>
      <c r="D4" s="74" t="s">
        <v>510</v>
      </c>
      <c r="E4" s="75" t="n">
        <v>1927.18</v>
      </c>
      <c r="F4" s="76" t="str">
        <f aca="false">IFERROR(IF(ISNUMBER(SEARCH(Assumptions!$C$5,C4)),Assumptions!$D$5,IF(ISNUMBER(SEARCH(Assumptions!$C$6,C4)),Assumptions!$D$6,IF(ISNUMBER(SEARCH(Assumptions!$C$7,C4)),Assumptions!$D$7,"Other Services"))),"Other Services")</f>
        <v>WhatsApp</v>
      </c>
    </row>
    <row r="5" customFormat="false" ht="15" hidden="false" customHeight="false" outlineLevel="0" collapsed="false">
      <c r="A5" s="74" t="s">
        <v>511</v>
      </c>
      <c r="B5" s="73" t="n">
        <v>46119</v>
      </c>
      <c r="C5" s="74" t="s">
        <v>512</v>
      </c>
      <c r="D5" s="74" t="s">
        <v>513</v>
      </c>
      <c r="E5" s="75" t="n">
        <v>482.38</v>
      </c>
      <c r="F5" s="76" t="str">
        <f aca="false">IFERROR(IF(ISNUMBER(SEARCH(Assumptions!$C$5,C5)),Assumptions!$D$5,IF(ISNUMBER(SEARCH(Assumptions!$C$6,C5)),Assumptions!$D$6,IF(ISNUMBER(SEARCH(Assumptions!$C$7,C5)),Assumptions!$D$7,"Other Services"))),"Other Services")</f>
        <v>Other Services</v>
      </c>
    </row>
    <row r="6" customFormat="false" ht="15" hidden="false" customHeight="false" outlineLevel="0" collapsed="false">
      <c r="A6" s="74" t="s">
        <v>514</v>
      </c>
      <c r="B6" s="73" t="n">
        <v>46128</v>
      </c>
      <c r="C6" s="74" t="s">
        <v>515</v>
      </c>
      <c r="D6" s="74" t="s">
        <v>510</v>
      </c>
      <c r="E6" s="75" t="n">
        <v>174.61</v>
      </c>
      <c r="F6" s="76" t="str">
        <f aca="false">IFERROR(IF(ISNUMBER(SEARCH(Assumptions!$C$5,C6)),Assumptions!$D$5,IF(ISNUMBER(SEARCH(Assumptions!$C$6,C6)),Assumptions!$D$6,IF(ISNUMBER(SEARCH(Assumptions!$C$7,C6)),Assumptions!$D$7,"Other Services"))),"Other Services")</f>
        <v>Other Services</v>
      </c>
    </row>
    <row r="7" customFormat="false" ht="15" hidden="false" customHeight="false" outlineLevel="0" collapsed="false">
      <c r="A7" s="74" t="s">
        <v>516</v>
      </c>
      <c r="B7" s="73" t="n">
        <v>46151</v>
      </c>
      <c r="C7" s="74" t="s">
        <v>517</v>
      </c>
      <c r="D7" s="74" t="s">
        <v>510</v>
      </c>
      <c r="E7" s="75" t="n">
        <v>1899.81</v>
      </c>
      <c r="F7" s="76" t="str">
        <f aca="false">IFERROR(IF(ISNUMBER(SEARCH(Assumptions!$C$5,C7)),Assumptions!$D$5,IF(ISNUMBER(SEARCH(Assumptions!$C$6,C7)),Assumptions!$D$6,IF(ISNUMBER(SEARCH(Assumptions!$C$7,C7)),Assumptions!$D$7,"Other Services"))),"Other Services")</f>
        <v>Subscription</v>
      </c>
    </row>
    <row r="8" customFormat="false" ht="15" hidden="false" customHeight="false" outlineLevel="0" collapsed="false">
      <c r="A8" s="74" t="s">
        <v>518</v>
      </c>
      <c r="B8" s="73" t="n">
        <v>46163</v>
      </c>
      <c r="C8" s="74" t="s">
        <v>519</v>
      </c>
      <c r="D8" s="74" t="s">
        <v>513</v>
      </c>
      <c r="E8" s="75" t="n">
        <v>1319.97</v>
      </c>
      <c r="F8" s="76" t="str">
        <f aca="false">IFERROR(IF(ISNUMBER(SEARCH(Assumptions!$C$5,C8)),Assumptions!$D$5,IF(ISNUMBER(SEARCH(Assumptions!$C$6,C8)),Assumptions!$D$6,IF(ISNUMBER(SEARCH(Assumptions!$C$7,C8)),Assumptions!$D$7,"Other Services"))),"Other Services")</f>
        <v>Other Services</v>
      </c>
    </row>
    <row r="9" customFormat="false" ht="15" hidden="false" customHeight="false" outlineLevel="0" collapsed="false">
      <c r="A9" s="74" t="s">
        <v>520</v>
      </c>
      <c r="B9" s="73" t="n">
        <v>46147</v>
      </c>
      <c r="C9" s="74" t="s">
        <v>519</v>
      </c>
      <c r="D9" s="74" t="s">
        <v>510</v>
      </c>
      <c r="E9" s="75" t="n">
        <v>1764.19</v>
      </c>
      <c r="F9" s="76" t="str">
        <f aca="false">IFERROR(IF(ISNUMBER(SEARCH(Assumptions!$C$5,C9)),Assumptions!$D$5,IF(ISNUMBER(SEARCH(Assumptions!$C$6,C9)),Assumptions!$D$6,IF(ISNUMBER(SEARCH(Assumptions!$C$7,C9)),Assumptions!$D$7,"Other Services"))),"Other Services")</f>
        <v>Other Services</v>
      </c>
    </row>
    <row r="10" customFormat="false" ht="15" hidden="false" customHeight="false" outlineLevel="0" collapsed="false">
      <c r="A10" s="74" t="s">
        <v>521</v>
      </c>
      <c r="B10" s="73" t="n">
        <v>46200</v>
      </c>
      <c r="C10" s="74" t="s">
        <v>519</v>
      </c>
      <c r="D10" s="74" t="s">
        <v>522</v>
      </c>
      <c r="E10" s="75" t="n">
        <v>1700.21</v>
      </c>
      <c r="F10" s="76" t="str">
        <f aca="false">IFERROR(IF(ISNUMBER(SEARCH(Assumptions!$C$5,C10)),Assumptions!$D$5,IF(ISNUMBER(SEARCH(Assumptions!$C$6,C10)),Assumptions!$D$6,IF(ISNUMBER(SEARCH(Assumptions!$C$7,C10)),Assumptions!$D$7,"Other Services"))),"Other Services")</f>
        <v>Other Services</v>
      </c>
    </row>
    <row r="11" customFormat="false" ht="15" hidden="false" customHeight="false" outlineLevel="0" collapsed="false">
      <c r="A11" s="74" t="s">
        <v>523</v>
      </c>
      <c r="B11" s="73" t="n">
        <v>46198</v>
      </c>
      <c r="C11" s="74" t="s">
        <v>519</v>
      </c>
      <c r="D11" s="74" t="s">
        <v>522</v>
      </c>
      <c r="E11" s="75" t="n">
        <v>1730.52</v>
      </c>
      <c r="F11" s="76" t="str">
        <f aca="false">IFERROR(IF(ISNUMBER(SEARCH(Assumptions!$C$5,C11)),Assumptions!$D$5,IF(ISNUMBER(SEARCH(Assumptions!$C$6,C11)),Assumptions!$D$6,IF(ISNUMBER(SEARCH(Assumptions!$C$7,C11)),Assumptions!$D$7,"Other Services"))),"Other Services")</f>
        <v>Other Services</v>
      </c>
    </row>
    <row r="12" customFormat="false" ht="15" hidden="false" customHeight="false" outlineLevel="0" collapsed="false">
      <c r="A12" s="74" t="s">
        <v>524</v>
      </c>
      <c r="B12" s="73" t="n">
        <v>46181</v>
      </c>
      <c r="C12" s="74" t="s">
        <v>509</v>
      </c>
      <c r="D12" s="74" t="s">
        <v>522</v>
      </c>
      <c r="E12" s="75" t="n">
        <v>74.05</v>
      </c>
      <c r="F12" s="76" t="str">
        <f aca="false">IFERROR(IF(ISNUMBER(SEARCH(Assumptions!$C$5,C12)),Assumptions!$D$5,IF(ISNUMBER(SEARCH(Assumptions!$C$6,C12)),Assumptions!$D$6,IF(ISNUMBER(SEARCH(Assumptions!$C$7,C12)),Assumptions!$D$7,"Other Services"))),"Other Services")</f>
        <v>WhatsApp</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3"/>
    <col collapsed="false" customWidth="true" hidden="false" outlineLevel="0" max="3" min="3" style="0" width="34"/>
    <col collapsed="false" customWidth="true" hidden="false" outlineLevel="0" max="4" min="4" style="0" width="36"/>
    <col collapsed="false" customWidth="true" hidden="false" outlineLevel="0" max="5" min="5" style="0" width="14"/>
    <col collapsed="false" customWidth="true" hidden="false" outlineLevel="0" max="6" min="6" style="0" width="15"/>
  </cols>
  <sheetData>
    <row r="1" customFormat="false" ht="15" hidden="false" customHeight="false" outlineLevel="0" collapsed="false">
      <c r="A1" s="72" t="s">
        <v>525</v>
      </c>
      <c r="B1" s="72"/>
      <c r="C1" s="72"/>
      <c r="D1" s="72"/>
      <c r="E1" s="72"/>
      <c r="F1" s="72"/>
      <c r="G1" s="72"/>
      <c r="H1" s="72"/>
      <c r="I1" s="72"/>
      <c r="J1" s="72"/>
      <c r="K1" s="72"/>
    </row>
    <row r="2" customFormat="false" ht="30" hidden="false" customHeight="true" outlineLevel="0" collapsed="false">
      <c r="A2" s="52" t="s">
        <v>526</v>
      </c>
      <c r="B2" s="52"/>
      <c r="C2" s="52"/>
      <c r="D2" s="52"/>
      <c r="E2" s="52"/>
      <c r="F2" s="52"/>
      <c r="G2" s="52"/>
      <c r="H2" s="52"/>
      <c r="I2" s="52"/>
      <c r="J2" s="52"/>
      <c r="K2" s="52"/>
    </row>
    <row r="3" customFormat="false" ht="21.75" hidden="false" customHeight="true" outlineLevel="0" collapsed="false">
      <c r="A3" s="77" t="s">
        <v>320</v>
      </c>
      <c r="B3" s="77" t="s">
        <v>106</v>
      </c>
      <c r="C3" s="77" t="s">
        <v>107</v>
      </c>
      <c r="D3" s="77" t="s">
        <v>108</v>
      </c>
      <c r="E3" s="77" t="s">
        <v>174</v>
      </c>
      <c r="F3" s="77" t="s">
        <v>115</v>
      </c>
    </row>
    <row r="4" customFormat="false" ht="15" hidden="false" customHeight="false" outlineLevel="0" collapsed="false">
      <c r="A4" s="74" t="s">
        <v>527</v>
      </c>
      <c r="B4" s="73" t="n">
        <v>46118</v>
      </c>
      <c r="C4" s="74" t="s">
        <v>136</v>
      </c>
      <c r="D4" s="74" t="s">
        <v>528</v>
      </c>
      <c r="E4" s="75" t="n">
        <v>5464.32</v>
      </c>
      <c r="F4" s="76" t="str">
        <f aca="false">IFERROR(IF(ISNUMBER(SEARCH(Assumptions!$C$5,D4)),Assumptions!$D$5,IF(ISNUMBER(SEARCH(Assumptions!$C$6,D4)),Assumptions!$D$6,IF(ISNUMBER(SEARCH(Assumptions!$C$7,D4)),Assumptions!$D$7,"Other Services"))),"Other Services")</f>
        <v>Other Services</v>
      </c>
    </row>
    <row r="5" customFormat="false" ht="15" hidden="false" customHeight="false" outlineLevel="0" collapsed="false">
      <c r="A5" s="74" t="s">
        <v>529</v>
      </c>
      <c r="B5" s="73" t="n">
        <v>46131</v>
      </c>
      <c r="C5" s="74" t="s">
        <v>132</v>
      </c>
      <c r="D5" s="74" t="s">
        <v>530</v>
      </c>
      <c r="E5" s="75" t="n">
        <v>4798.99</v>
      </c>
      <c r="F5" s="76" t="str">
        <f aca="false">IFERROR(IF(ISNUMBER(SEARCH(Assumptions!$C$5,D5)),Assumptions!$D$5,IF(ISNUMBER(SEARCH(Assumptions!$C$6,D5)),Assumptions!$D$6,IF(ISNUMBER(SEARCH(Assumptions!$C$7,D5)),Assumptions!$D$7,"Other Services"))),"Other Services")</f>
        <v>WhatsApp</v>
      </c>
    </row>
    <row r="6" customFormat="false" ht="15" hidden="false" customHeight="false" outlineLevel="0" collapsed="false">
      <c r="A6" s="74" t="s">
        <v>531</v>
      </c>
      <c r="B6" s="73" t="n">
        <v>46138</v>
      </c>
      <c r="C6" s="74" t="s">
        <v>148</v>
      </c>
      <c r="D6" s="74" t="s">
        <v>532</v>
      </c>
      <c r="E6" s="75" t="n">
        <v>1305.24</v>
      </c>
      <c r="F6" s="76" t="str">
        <f aca="false">IFERROR(IF(ISNUMBER(SEARCH(Assumptions!$C$5,D6)),Assumptions!$D$5,IF(ISNUMBER(SEARCH(Assumptions!$C$6,D6)),Assumptions!$D$6,IF(ISNUMBER(SEARCH(Assumptions!$C$7,D6)),Assumptions!$D$7,"Other Services"))),"Other Services")</f>
        <v>Other Services</v>
      </c>
    </row>
    <row r="7" customFormat="false" ht="15" hidden="false" customHeight="false" outlineLevel="0" collapsed="false">
      <c r="A7" s="74" t="s">
        <v>533</v>
      </c>
      <c r="B7" s="73" t="n">
        <v>46160</v>
      </c>
      <c r="C7" s="74" t="s">
        <v>136</v>
      </c>
      <c r="D7" s="74" t="s">
        <v>534</v>
      </c>
      <c r="E7" s="75" t="n">
        <v>2665.23</v>
      </c>
      <c r="F7" s="76" t="str">
        <f aca="false">IFERROR(IF(ISNUMBER(SEARCH(Assumptions!$C$5,D7)),Assumptions!$D$5,IF(ISNUMBER(SEARCH(Assumptions!$C$6,D7)),Assumptions!$D$6,IF(ISNUMBER(SEARCH(Assumptions!$C$7,D7)),Assumptions!$D$7,"Other Services"))),"Other Services")</f>
        <v>Other Services</v>
      </c>
    </row>
    <row r="8" customFormat="false" ht="15" hidden="false" customHeight="false" outlineLevel="0" collapsed="false">
      <c r="A8" s="74" t="s">
        <v>535</v>
      </c>
      <c r="B8" s="73" t="n">
        <v>46159</v>
      </c>
      <c r="C8" s="74" t="s">
        <v>121</v>
      </c>
      <c r="D8" s="74" t="s">
        <v>534</v>
      </c>
      <c r="E8" s="75" t="n">
        <v>1312.08</v>
      </c>
      <c r="F8" s="76" t="str">
        <f aca="false">IFERROR(IF(ISNUMBER(SEARCH(Assumptions!$C$5,D8)),Assumptions!$D$5,IF(ISNUMBER(SEARCH(Assumptions!$C$6,D8)),Assumptions!$D$6,IF(ISNUMBER(SEARCH(Assumptions!$C$7,D8)),Assumptions!$D$7,"Other Services"))),"Other Services")</f>
        <v>Other Services</v>
      </c>
    </row>
    <row r="9" customFormat="false" ht="15" hidden="false" customHeight="false" outlineLevel="0" collapsed="false">
      <c r="A9" s="74" t="s">
        <v>536</v>
      </c>
      <c r="B9" s="73" t="n">
        <v>46165</v>
      </c>
      <c r="C9" s="74" t="s">
        <v>127</v>
      </c>
      <c r="D9" s="74" t="s">
        <v>537</v>
      </c>
      <c r="E9" s="75" t="n">
        <v>4560.2</v>
      </c>
      <c r="F9" s="76" t="str">
        <f aca="false">IFERROR(IF(ISNUMBER(SEARCH(Assumptions!$C$5,D9)),Assumptions!$D$5,IF(ISNUMBER(SEARCH(Assumptions!$C$6,D9)),Assumptions!$D$6,IF(ISNUMBER(SEARCH(Assumptions!$C$7,D9)),Assumptions!$D$7,"Other Services"))),"Other Services")</f>
        <v>Other Services</v>
      </c>
    </row>
    <row r="10" customFormat="false" ht="15" hidden="false" customHeight="false" outlineLevel="0" collapsed="false">
      <c r="A10" s="74" t="s">
        <v>538</v>
      </c>
      <c r="B10" s="73" t="n">
        <v>46185</v>
      </c>
      <c r="C10" s="74" t="s">
        <v>130</v>
      </c>
      <c r="D10" s="74" t="s">
        <v>539</v>
      </c>
      <c r="E10" s="75" t="n">
        <v>942.09</v>
      </c>
      <c r="F10" s="76" t="str">
        <f aca="false">IFERROR(IF(ISNUMBER(SEARCH(Assumptions!$C$5,D10)),Assumptions!$D$5,IF(ISNUMBER(SEARCH(Assumptions!$C$6,D10)),Assumptions!$D$6,IF(ISNUMBER(SEARCH(Assumptions!$C$7,D10)),Assumptions!$D$7,"Other Services"))),"Other Services")</f>
        <v>Other Services</v>
      </c>
    </row>
    <row r="11" customFormat="false" ht="15" hidden="false" customHeight="false" outlineLevel="0" collapsed="false">
      <c r="A11" s="74" t="s">
        <v>540</v>
      </c>
      <c r="B11" s="73" t="n">
        <v>46183</v>
      </c>
      <c r="C11" s="74" t="s">
        <v>130</v>
      </c>
      <c r="D11" s="74" t="s">
        <v>539</v>
      </c>
      <c r="E11" s="75" t="n">
        <v>3888.67</v>
      </c>
      <c r="F11" s="76" t="str">
        <f aca="false">IFERROR(IF(ISNUMBER(SEARCH(Assumptions!$C$5,D11)),Assumptions!$D$5,IF(ISNUMBER(SEARCH(Assumptions!$C$6,D11)),Assumptions!$D$6,IF(ISNUMBER(SEARCH(Assumptions!$C$7,D11)),Assumptions!$D$7,"Other Services"))),"Other Services")</f>
        <v>Other Services</v>
      </c>
    </row>
    <row r="12" customFormat="false" ht="15" hidden="false" customHeight="false" outlineLevel="0" collapsed="false">
      <c r="A12" s="74" t="s">
        <v>541</v>
      </c>
      <c r="B12" s="73" t="n">
        <v>46195</v>
      </c>
      <c r="C12" s="74" t="s">
        <v>132</v>
      </c>
      <c r="D12" s="74" t="s">
        <v>542</v>
      </c>
      <c r="E12" s="75" t="n">
        <v>917.82</v>
      </c>
      <c r="F12" s="76" t="str">
        <f aca="false">IFERROR(IF(ISNUMBER(SEARCH(Assumptions!$C$5,D12)),Assumptions!$D$5,IF(ISNUMBER(SEARCH(Assumptions!$C$6,D12)),Assumptions!$D$6,IF(ISNUMBER(SEARCH(Assumptions!$C$7,D12)),Assumptions!$D$7,"Other Services"))),"Other Services")</f>
        <v>WhatsApp</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59B6"/>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3" min="3" style="0" width="17"/>
    <col collapsed="false" customWidth="true" hidden="false" outlineLevel="0" max="4" min="4" style="0" width="13"/>
    <col collapsed="false" customWidth="true" hidden="false" outlineLevel="0" max="5" min="5" style="0" width="11"/>
    <col collapsed="false" customWidth="true" hidden="false" outlineLevel="0" max="6" min="6" style="0" width="15"/>
    <col collapsed="false" customWidth="true" hidden="false" outlineLevel="0" max="7" min="7" style="0" width="13"/>
    <col collapsed="false" customWidth="true" hidden="false" outlineLevel="0" max="8" min="8" style="0" width="20"/>
  </cols>
  <sheetData>
    <row r="1" customFormat="false" ht="15" hidden="false" customHeight="false" outlineLevel="0" collapsed="false">
      <c r="A1" s="72" t="s">
        <v>543</v>
      </c>
      <c r="B1" s="72"/>
      <c r="C1" s="72"/>
      <c r="D1" s="72"/>
      <c r="E1" s="72"/>
      <c r="F1" s="72"/>
      <c r="G1" s="72"/>
      <c r="H1" s="72"/>
    </row>
    <row r="2" customFormat="false" ht="15" hidden="false" customHeight="false" outlineLevel="0" collapsed="false">
      <c r="A2" s="78" t="s">
        <v>544</v>
      </c>
      <c r="B2" s="78"/>
      <c r="C2" s="78"/>
      <c r="D2" s="78"/>
      <c r="E2" s="78"/>
      <c r="F2" s="78"/>
      <c r="G2" s="78"/>
      <c r="H2" s="78"/>
    </row>
    <row r="4" customFormat="false" ht="15" hidden="false" customHeight="false" outlineLevel="0" collapsed="false">
      <c r="A4" s="27" t="s">
        <v>545</v>
      </c>
    </row>
    <row r="5" customFormat="false" ht="24" hidden="false" customHeight="true" outlineLevel="0" collapsed="false">
      <c r="A5" s="79" t="s">
        <v>107</v>
      </c>
      <c r="B5" s="79" t="s">
        <v>120</v>
      </c>
      <c r="C5" s="79" t="s">
        <v>196</v>
      </c>
      <c r="D5" s="79" t="s">
        <v>199</v>
      </c>
      <c r="E5" s="79" t="s">
        <v>177</v>
      </c>
      <c r="F5" s="79" t="s">
        <v>181</v>
      </c>
      <c r="G5" s="79" t="s">
        <v>183</v>
      </c>
      <c r="H5" s="79" t="s">
        <v>546</v>
      </c>
    </row>
    <row r="6" customFormat="false" ht="15" hidden="false" customHeight="false" outlineLevel="0" collapsed="false">
      <c r="A6" s="76" t="s">
        <v>148</v>
      </c>
      <c r="B6" s="80" t="n">
        <f aca="false">SUMIFS(Xero_Raw!$H$4:$H$42,Xero_Raw!$C$4:$C$42,"Invoice",Xero_Raw!$D$4:$D$42,$A6,Xero_Raw!$I$4:$I$42,"Paid")</f>
        <v>7660.55</v>
      </c>
      <c r="C6" s="80" t="n">
        <f aca="false">SUMIFS(Xero_Raw!$H$4:$H$42,Xero_Raw!$C$4:$C$42,"Invoice",Xero_Raw!$D$4:$D$42,$A6,Xero_Raw!$I$4:$I$42,"Awaiting Payment")</f>
        <v>0</v>
      </c>
      <c r="D6" s="80" t="n">
        <f aca="false">SUMIFS(Xero_Raw!$H$4:$H$42,Xero_Raw!$C$4:$C$42,"Invoice",Xero_Raw!$D$4:$D$42,$A6,Xero_Raw!$I$4:$I$42,"Overdue")</f>
        <v>31165.32</v>
      </c>
      <c r="E6" s="80" t="n">
        <f aca="false">SUMIFS(Xero_Raw!$H$4:$H$42,Xero_Raw!$C$4:$C$42,"Invoice",Xero_Raw!$D$4:$D$42,$A6,Xero_Raw!$I$4:$I$42,"Draft")</f>
        <v>31821.05</v>
      </c>
      <c r="F6" s="80" t="n">
        <f aca="false">SUMIFS(Xero_Raw!$H$4:$H$42,Xero_Raw!$C$4:$C$42,"Invoice",Xero_Raw!$D$4:$D$42,$A6,Xero_Raw!$I$4:$I$42,"Void")</f>
        <v>0</v>
      </c>
      <c r="G6" s="80" t="n">
        <f aca="false">SUMIFS(Xero_Raw!$H$4:$H$42,Xero_Raw!$C$4:$C$42,"Invoice",Xero_Raw!$D$4:$D$42,$A6,Xero_Raw!$I$4:$I$42,"Unsent")</f>
        <v>0</v>
      </c>
      <c r="H6" s="81" t="n">
        <f aca="false">B6+C6+D6</f>
        <v>38825.87</v>
      </c>
    </row>
    <row r="7" customFormat="false" ht="15" hidden="false" customHeight="false" outlineLevel="0" collapsed="false">
      <c r="A7" s="76" t="s">
        <v>124</v>
      </c>
      <c r="B7" s="80" t="n">
        <f aca="false">SUMIFS(Xero_Raw!$H$4:$H$42,Xero_Raw!$C$4:$C$42,"Invoice",Xero_Raw!$D$4:$D$42,$A7,Xero_Raw!$I$4:$I$42,"Paid")</f>
        <v>14362.95</v>
      </c>
      <c r="C7" s="80" t="n">
        <f aca="false">SUMIFS(Xero_Raw!$H$4:$H$42,Xero_Raw!$C$4:$C$42,"Invoice",Xero_Raw!$D$4:$D$42,$A7,Xero_Raw!$I$4:$I$42,"Awaiting Payment")</f>
        <v>0</v>
      </c>
      <c r="D7" s="80" t="n">
        <f aca="false">SUMIFS(Xero_Raw!$H$4:$H$42,Xero_Raw!$C$4:$C$42,"Invoice",Xero_Raw!$D$4:$D$42,$A7,Xero_Raw!$I$4:$I$42,"Overdue")</f>
        <v>0</v>
      </c>
      <c r="E7" s="80" t="n">
        <f aca="false">SUMIFS(Xero_Raw!$H$4:$H$42,Xero_Raw!$C$4:$C$42,"Invoice",Xero_Raw!$D$4:$D$42,$A7,Xero_Raw!$I$4:$I$42,"Draft")</f>
        <v>13032.12</v>
      </c>
      <c r="F7" s="80" t="n">
        <f aca="false">SUMIFS(Xero_Raw!$H$4:$H$42,Xero_Raw!$C$4:$C$42,"Invoice",Xero_Raw!$D$4:$D$42,$A7,Xero_Raw!$I$4:$I$42,"Void")</f>
        <v>0</v>
      </c>
      <c r="G7" s="80" t="n">
        <f aca="false">SUMIFS(Xero_Raw!$H$4:$H$42,Xero_Raw!$C$4:$C$42,"Invoice",Xero_Raw!$D$4:$D$42,$A7,Xero_Raw!$I$4:$I$42,"Unsent")</f>
        <v>0</v>
      </c>
      <c r="H7" s="81" t="n">
        <f aca="false">B7+C7+D7</f>
        <v>14362.95</v>
      </c>
    </row>
    <row r="8" customFormat="false" ht="15" hidden="false" customHeight="false" outlineLevel="0" collapsed="false">
      <c r="A8" s="76" t="s">
        <v>121</v>
      </c>
      <c r="B8" s="80" t="n">
        <f aca="false">SUMIFS(Xero_Raw!$H$4:$H$42,Xero_Raw!$C$4:$C$42,"Invoice",Xero_Raw!$D$4:$D$42,$A8,Xero_Raw!$I$4:$I$42,"Paid")</f>
        <v>6646.46</v>
      </c>
      <c r="C8" s="80" t="n">
        <f aca="false">SUMIFS(Xero_Raw!$H$4:$H$42,Xero_Raw!$C$4:$C$42,"Invoice",Xero_Raw!$D$4:$D$42,$A8,Xero_Raw!$I$4:$I$42,"Awaiting Payment")</f>
        <v>0</v>
      </c>
      <c r="D8" s="80" t="n">
        <f aca="false">SUMIFS(Xero_Raw!$H$4:$H$42,Xero_Raw!$C$4:$C$42,"Invoice",Xero_Raw!$D$4:$D$42,$A8,Xero_Raw!$I$4:$I$42,"Overdue")</f>
        <v>0</v>
      </c>
      <c r="E8" s="80" t="n">
        <f aca="false">SUMIFS(Xero_Raw!$H$4:$H$42,Xero_Raw!$C$4:$C$42,"Invoice",Xero_Raw!$D$4:$D$42,$A8,Xero_Raw!$I$4:$I$42,"Draft")</f>
        <v>0</v>
      </c>
      <c r="F8" s="80" t="n">
        <f aca="false">SUMIFS(Xero_Raw!$H$4:$H$42,Xero_Raw!$C$4:$C$42,"Invoice",Xero_Raw!$D$4:$D$42,$A8,Xero_Raw!$I$4:$I$42,"Void")</f>
        <v>0</v>
      </c>
      <c r="G8" s="80" t="n">
        <f aca="false">SUMIFS(Xero_Raw!$H$4:$H$42,Xero_Raw!$C$4:$C$42,"Invoice",Xero_Raw!$D$4:$D$42,$A8,Xero_Raw!$I$4:$I$42,"Unsent")</f>
        <v>0</v>
      </c>
      <c r="H8" s="81" t="n">
        <f aca="false">B8+C8+D8</f>
        <v>6646.46</v>
      </c>
    </row>
    <row r="9" customFormat="false" ht="15" hidden="false" customHeight="false" outlineLevel="0" collapsed="false">
      <c r="A9" s="76" t="s">
        <v>127</v>
      </c>
      <c r="B9" s="80" t="n">
        <f aca="false">SUMIFS(Xero_Raw!$H$4:$H$42,Xero_Raw!$C$4:$C$42,"Invoice",Xero_Raw!$D$4:$D$42,$A9,Xero_Raw!$I$4:$I$42,"Paid")</f>
        <v>0</v>
      </c>
      <c r="C9" s="80" t="n">
        <f aca="false">SUMIFS(Xero_Raw!$H$4:$H$42,Xero_Raw!$C$4:$C$42,"Invoice",Xero_Raw!$D$4:$D$42,$A9,Xero_Raw!$I$4:$I$42,"Awaiting Payment")</f>
        <v>0</v>
      </c>
      <c r="D9" s="80" t="n">
        <f aca="false">SUMIFS(Xero_Raw!$H$4:$H$42,Xero_Raw!$C$4:$C$42,"Invoice",Xero_Raw!$D$4:$D$42,$A9,Xero_Raw!$I$4:$I$42,"Overdue")</f>
        <v>0</v>
      </c>
      <c r="E9" s="80" t="n">
        <f aca="false">SUMIFS(Xero_Raw!$H$4:$H$42,Xero_Raw!$C$4:$C$42,"Invoice",Xero_Raw!$D$4:$D$42,$A9,Xero_Raw!$I$4:$I$42,"Draft")</f>
        <v>0</v>
      </c>
      <c r="F9" s="80" t="n">
        <f aca="false">SUMIFS(Xero_Raw!$H$4:$H$42,Xero_Raw!$C$4:$C$42,"Invoice",Xero_Raw!$D$4:$D$42,$A9,Xero_Raw!$I$4:$I$42,"Void")</f>
        <v>0</v>
      </c>
      <c r="G9" s="80" t="n">
        <f aca="false">SUMIFS(Xero_Raw!$H$4:$H$42,Xero_Raw!$C$4:$C$42,"Invoice",Xero_Raw!$D$4:$D$42,$A9,Xero_Raw!$I$4:$I$42,"Unsent")</f>
        <v>0</v>
      </c>
      <c r="H9" s="81" t="n">
        <f aca="false">B9+C9+D9</f>
        <v>0</v>
      </c>
    </row>
    <row r="10" customFormat="false" ht="15" hidden="false" customHeight="false" outlineLevel="0" collapsed="false">
      <c r="A10" s="76" t="s">
        <v>130</v>
      </c>
      <c r="B10" s="80" t="n">
        <f aca="false">SUMIFS(Xero_Raw!$H$4:$H$42,Xero_Raw!$C$4:$C$42,"Invoice",Xero_Raw!$D$4:$D$42,$A10,Xero_Raw!$I$4:$I$42,"Paid")</f>
        <v>0</v>
      </c>
      <c r="C10" s="80" t="n">
        <f aca="false">SUMIFS(Xero_Raw!$H$4:$H$42,Xero_Raw!$C$4:$C$42,"Invoice",Xero_Raw!$D$4:$D$42,$A10,Xero_Raw!$I$4:$I$42,"Awaiting Payment")</f>
        <v>0</v>
      </c>
      <c r="D10" s="80" t="n">
        <f aca="false">SUMIFS(Xero_Raw!$H$4:$H$42,Xero_Raw!$C$4:$C$42,"Invoice",Xero_Raw!$D$4:$D$42,$A10,Xero_Raw!$I$4:$I$42,"Overdue")</f>
        <v>0</v>
      </c>
      <c r="E10" s="80" t="n">
        <f aca="false">SUMIFS(Xero_Raw!$H$4:$H$42,Xero_Raw!$C$4:$C$42,"Invoice",Xero_Raw!$D$4:$D$42,$A10,Xero_Raw!$I$4:$I$42,"Draft")</f>
        <v>0</v>
      </c>
      <c r="F10" s="80" t="n">
        <f aca="false">SUMIFS(Xero_Raw!$H$4:$H$42,Xero_Raw!$C$4:$C$42,"Invoice",Xero_Raw!$D$4:$D$42,$A10,Xero_Raw!$I$4:$I$42,"Void")</f>
        <v>0</v>
      </c>
      <c r="G10" s="80" t="n">
        <f aca="false">SUMIFS(Xero_Raw!$H$4:$H$42,Xero_Raw!$C$4:$C$42,"Invoice",Xero_Raw!$D$4:$D$42,$A10,Xero_Raw!$I$4:$I$42,"Unsent")</f>
        <v>0</v>
      </c>
      <c r="H10" s="81" t="n">
        <f aca="false">B10+C10+D10</f>
        <v>0</v>
      </c>
    </row>
    <row r="11" customFormat="false" ht="15" hidden="false" customHeight="false" outlineLevel="0" collapsed="false">
      <c r="A11" s="76" t="s">
        <v>132</v>
      </c>
      <c r="B11" s="80" t="n">
        <f aca="false">SUMIFS(Xero_Raw!$H$4:$H$42,Xero_Raw!$C$4:$C$42,"Invoice",Xero_Raw!$D$4:$D$42,$A11,Xero_Raw!$I$4:$I$42,"Paid")</f>
        <v>23432.57</v>
      </c>
      <c r="C11" s="80" t="n">
        <f aca="false">SUMIFS(Xero_Raw!$H$4:$H$42,Xero_Raw!$C$4:$C$42,"Invoice",Xero_Raw!$D$4:$D$42,$A11,Xero_Raw!$I$4:$I$42,"Awaiting Payment")</f>
        <v>0</v>
      </c>
      <c r="D11" s="80" t="n">
        <f aca="false">SUMIFS(Xero_Raw!$H$4:$H$42,Xero_Raw!$C$4:$C$42,"Invoice",Xero_Raw!$D$4:$D$42,$A11,Xero_Raw!$I$4:$I$42,"Overdue")</f>
        <v>28580.56</v>
      </c>
      <c r="E11" s="80" t="n">
        <f aca="false">SUMIFS(Xero_Raw!$H$4:$H$42,Xero_Raw!$C$4:$C$42,"Invoice",Xero_Raw!$D$4:$D$42,$A11,Xero_Raw!$I$4:$I$42,"Draft")</f>
        <v>0</v>
      </c>
      <c r="F11" s="80" t="n">
        <f aca="false">SUMIFS(Xero_Raw!$H$4:$H$42,Xero_Raw!$C$4:$C$42,"Invoice",Xero_Raw!$D$4:$D$42,$A11,Xero_Raw!$I$4:$I$42,"Void")</f>
        <v>0</v>
      </c>
      <c r="G11" s="80" t="n">
        <f aca="false">SUMIFS(Xero_Raw!$H$4:$H$42,Xero_Raw!$C$4:$C$42,"Invoice",Xero_Raw!$D$4:$D$42,$A11,Xero_Raw!$I$4:$I$42,"Unsent")</f>
        <v>0</v>
      </c>
      <c r="H11" s="81" t="n">
        <f aca="false">B11+C11+D11</f>
        <v>52013.13</v>
      </c>
    </row>
    <row r="12" customFormat="false" ht="15" hidden="false" customHeight="false" outlineLevel="0" collapsed="false">
      <c r="A12" s="76" t="s">
        <v>158</v>
      </c>
      <c r="B12" s="80" t="n">
        <f aca="false">SUMIFS(Xero_Raw!$H$4:$H$42,Xero_Raw!$C$4:$C$42,"Invoice",Xero_Raw!$D$4:$D$42,$A12,Xero_Raw!$I$4:$I$42,"Paid")</f>
        <v>0</v>
      </c>
      <c r="C12" s="80" t="n">
        <f aca="false">SUMIFS(Xero_Raw!$H$4:$H$42,Xero_Raw!$C$4:$C$42,"Invoice",Xero_Raw!$D$4:$D$42,$A12,Xero_Raw!$I$4:$I$42,"Awaiting Payment")</f>
        <v>0</v>
      </c>
      <c r="D12" s="80" t="n">
        <f aca="false">SUMIFS(Xero_Raw!$H$4:$H$42,Xero_Raw!$C$4:$C$42,"Invoice",Xero_Raw!$D$4:$D$42,$A12,Xero_Raw!$I$4:$I$42,"Overdue")</f>
        <v>0</v>
      </c>
      <c r="E12" s="80" t="n">
        <f aca="false">SUMIFS(Xero_Raw!$H$4:$H$42,Xero_Raw!$C$4:$C$42,"Invoice",Xero_Raw!$D$4:$D$42,$A12,Xero_Raw!$I$4:$I$42,"Draft")</f>
        <v>0</v>
      </c>
      <c r="F12" s="80" t="n">
        <f aca="false">SUMIFS(Xero_Raw!$H$4:$H$42,Xero_Raw!$C$4:$C$42,"Invoice",Xero_Raw!$D$4:$D$42,$A12,Xero_Raw!$I$4:$I$42,"Void")</f>
        <v>36454.42</v>
      </c>
      <c r="G12" s="80" t="n">
        <f aca="false">SUMIFS(Xero_Raw!$H$4:$H$42,Xero_Raw!$C$4:$C$42,"Invoice",Xero_Raw!$D$4:$D$42,$A12,Xero_Raw!$I$4:$I$42,"Unsent")</f>
        <v>52102.53</v>
      </c>
      <c r="H12" s="81" t="n">
        <f aca="false">B12+C12+D12</f>
        <v>0</v>
      </c>
    </row>
    <row r="13" customFormat="false" ht="15" hidden="false" customHeight="false" outlineLevel="0" collapsed="false">
      <c r="A13" s="76" t="s">
        <v>178</v>
      </c>
      <c r="B13" s="80" t="n">
        <f aca="false">SUMIFS(Xero_Raw!$H$4:$H$42,Xero_Raw!$C$4:$C$42,"Invoice",Xero_Raw!$D$4:$D$42,$A13,Xero_Raw!$I$4:$I$42,"Paid")</f>
        <v>0</v>
      </c>
      <c r="C13" s="80" t="n">
        <f aca="false">SUMIFS(Xero_Raw!$H$4:$H$42,Xero_Raw!$C$4:$C$42,"Invoice",Xero_Raw!$D$4:$D$42,$A13,Xero_Raw!$I$4:$I$42,"Awaiting Payment")</f>
        <v>42402.31</v>
      </c>
      <c r="D13" s="80" t="n">
        <f aca="false">SUMIFS(Xero_Raw!$H$4:$H$42,Xero_Raw!$C$4:$C$42,"Invoice",Xero_Raw!$D$4:$D$42,$A13,Xero_Raw!$I$4:$I$42,"Overdue")</f>
        <v>0</v>
      </c>
      <c r="E13" s="80" t="n">
        <f aca="false">SUMIFS(Xero_Raw!$H$4:$H$42,Xero_Raw!$C$4:$C$42,"Invoice",Xero_Raw!$D$4:$D$42,$A13,Xero_Raw!$I$4:$I$42,"Draft")</f>
        <v>9674.09</v>
      </c>
      <c r="F13" s="80" t="n">
        <f aca="false">SUMIFS(Xero_Raw!$H$4:$H$42,Xero_Raw!$C$4:$C$42,"Invoice",Xero_Raw!$D$4:$D$42,$A13,Xero_Raw!$I$4:$I$42,"Void")</f>
        <v>0</v>
      </c>
      <c r="G13" s="80" t="n">
        <f aca="false">SUMIFS(Xero_Raw!$H$4:$H$42,Xero_Raw!$C$4:$C$42,"Invoice",Xero_Raw!$D$4:$D$42,$A13,Xero_Raw!$I$4:$I$42,"Unsent")</f>
        <v>0</v>
      </c>
      <c r="H13" s="81" t="n">
        <f aca="false">B13+C13+D13</f>
        <v>42402.31</v>
      </c>
    </row>
    <row r="14" customFormat="false" ht="15" hidden="false" customHeight="false" outlineLevel="0" collapsed="false">
      <c r="A14" s="76" t="s">
        <v>146</v>
      </c>
      <c r="B14" s="80" t="n">
        <f aca="false">SUMIFS(Xero_Raw!$H$4:$H$42,Xero_Raw!$C$4:$C$42,"Invoice",Xero_Raw!$D$4:$D$42,$A14,Xero_Raw!$I$4:$I$42,"Paid")</f>
        <v>10978.22</v>
      </c>
      <c r="C14" s="80" t="n">
        <f aca="false">SUMIFS(Xero_Raw!$H$4:$H$42,Xero_Raw!$C$4:$C$42,"Invoice",Xero_Raw!$D$4:$D$42,$A14,Xero_Raw!$I$4:$I$42,"Awaiting Payment")</f>
        <v>0</v>
      </c>
      <c r="D14" s="80" t="n">
        <f aca="false">SUMIFS(Xero_Raw!$H$4:$H$42,Xero_Raw!$C$4:$C$42,"Invoice",Xero_Raw!$D$4:$D$42,$A14,Xero_Raw!$I$4:$I$42,"Overdue")</f>
        <v>37477.31</v>
      </c>
      <c r="E14" s="80" t="n">
        <f aca="false">SUMIFS(Xero_Raw!$H$4:$H$42,Xero_Raw!$C$4:$C$42,"Invoice",Xero_Raw!$D$4:$D$42,$A14,Xero_Raw!$I$4:$I$42,"Draft")</f>
        <v>0</v>
      </c>
      <c r="F14" s="80" t="n">
        <f aca="false">SUMIFS(Xero_Raw!$H$4:$H$42,Xero_Raw!$C$4:$C$42,"Invoice",Xero_Raw!$D$4:$D$42,$A14,Xero_Raw!$I$4:$I$42,"Void")</f>
        <v>0</v>
      </c>
      <c r="G14" s="80" t="n">
        <f aca="false">SUMIFS(Xero_Raw!$H$4:$H$42,Xero_Raw!$C$4:$C$42,"Invoice",Xero_Raw!$D$4:$D$42,$A14,Xero_Raw!$I$4:$I$42,"Unsent")</f>
        <v>0</v>
      </c>
      <c r="H14" s="81" t="n">
        <f aca="false">B14+C14+D14</f>
        <v>48455.53</v>
      </c>
    </row>
    <row r="15" customFormat="false" ht="15" hidden="false" customHeight="false" outlineLevel="0" collapsed="false">
      <c r="A15" s="76" t="s">
        <v>136</v>
      </c>
      <c r="B15" s="80" t="n">
        <f aca="false">SUMIFS(Xero_Raw!$H$4:$H$42,Xero_Raw!$C$4:$C$42,"Invoice",Xero_Raw!$D$4:$D$42,$A15,Xero_Raw!$I$4:$I$42,"Paid")</f>
        <v>0</v>
      </c>
      <c r="C15" s="80" t="n">
        <f aca="false">SUMIFS(Xero_Raw!$H$4:$H$42,Xero_Raw!$C$4:$C$42,"Invoice",Xero_Raw!$D$4:$D$42,$A15,Xero_Raw!$I$4:$I$42,"Awaiting Payment")</f>
        <v>36482.11</v>
      </c>
      <c r="D15" s="80" t="n">
        <f aca="false">SUMIFS(Xero_Raw!$H$4:$H$42,Xero_Raw!$C$4:$C$42,"Invoice",Xero_Raw!$D$4:$D$42,$A15,Xero_Raw!$I$4:$I$42,"Overdue")</f>
        <v>25418.98</v>
      </c>
      <c r="E15" s="80" t="n">
        <f aca="false">SUMIFS(Xero_Raw!$H$4:$H$42,Xero_Raw!$C$4:$C$42,"Invoice",Xero_Raw!$D$4:$D$42,$A15,Xero_Raw!$I$4:$I$42,"Draft")</f>
        <v>0</v>
      </c>
      <c r="F15" s="80" t="n">
        <f aca="false">SUMIFS(Xero_Raw!$H$4:$H$42,Xero_Raw!$C$4:$C$42,"Invoice",Xero_Raw!$D$4:$D$42,$A15,Xero_Raw!$I$4:$I$42,"Void")</f>
        <v>16093.84</v>
      </c>
      <c r="G15" s="80" t="n">
        <f aca="false">SUMIFS(Xero_Raw!$H$4:$H$42,Xero_Raw!$C$4:$C$42,"Invoice",Xero_Raw!$D$4:$D$42,$A15,Xero_Raw!$I$4:$I$42,"Unsent")</f>
        <v>0</v>
      </c>
      <c r="H15" s="81" t="n">
        <f aca="false">B15+C15+D15</f>
        <v>61901.09</v>
      </c>
    </row>
    <row r="16" customFormat="false" ht="15" hidden="false" customHeight="false" outlineLevel="0" collapsed="false">
      <c r="A16" s="76" t="s">
        <v>116</v>
      </c>
      <c r="B16" s="80" t="n">
        <f aca="false">SUMIFS(Xero_Raw!$H$4:$H$42,Xero_Raw!$C$4:$C$42,"Invoice",Xero_Raw!$D$4:$D$42,$A16,Xero_Raw!$I$4:$I$42,"Paid")</f>
        <v>0</v>
      </c>
      <c r="C16" s="80" t="n">
        <f aca="false">SUMIFS(Xero_Raw!$H$4:$H$42,Xero_Raw!$C$4:$C$42,"Invoice",Xero_Raw!$D$4:$D$42,$A16,Xero_Raw!$I$4:$I$42,"Awaiting Payment")</f>
        <v>40736.07</v>
      </c>
      <c r="D16" s="80" t="n">
        <f aca="false">SUMIFS(Xero_Raw!$H$4:$H$42,Xero_Raw!$C$4:$C$42,"Invoice",Xero_Raw!$D$4:$D$42,$A16,Xero_Raw!$I$4:$I$42,"Overdue")</f>
        <v>17339.02</v>
      </c>
      <c r="E16" s="80" t="n">
        <f aca="false">SUMIFS(Xero_Raw!$H$4:$H$42,Xero_Raw!$C$4:$C$42,"Invoice",Xero_Raw!$D$4:$D$42,$A16,Xero_Raw!$I$4:$I$42,"Draft")</f>
        <v>0</v>
      </c>
      <c r="F16" s="80" t="n">
        <f aca="false">SUMIFS(Xero_Raw!$H$4:$H$42,Xero_Raw!$C$4:$C$42,"Invoice",Xero_Raw!$D$4:$D$42,$A16,Xero_Raw!$I$4:$I$42,"Void")</f>
        <v>0</v>
      </c>
      <c r="G16" s="80" t="n">
        <f aca="false">SUMIFS(Xero_Raw!$H$4:$H$42,Xero_Raw!$C$4:$C$42,"Invoice",Xero_Raw!$D$4:$D$42,$A16,Xero_Raw!$I$4:$I$42,"Unsent")</f>
        <v>5515.54</v>
      </c>
      <c r="H16" s="81" t="n">
        <f aca="false">B16+C16+D16</f>
        <v>58075.09</v>
      </c>
    </row>
    <row r="17" customFormat="false" ht="15" hidden="false" customHeight="false" outlineLevel="0" collapsed="false">
      <c r="A17" s="76" t="s">
        <v>144</v>
      </c>
      <c r="B17" s="80" t="n">
        <f aca="false">SUMIFS(Xero_Raw!$H$4:$H$42,Xero_Raw!$C$4:$C$42,"Invoice",Xero_Raw!$D$4:$D$42,$A17,Xero_Raw!$I$4:$I$42,"Paid")</f>
        <v>0</v>
      </c>
      <c r="C17" s="80" t="n">
        <f aca="false">SUMIFS(Xero_Raw!$H$4:$H$42,Xero_Raw!$C$4:$C$42,"Invoice",Xero_Raw!$D$4:$D$42,$A17,Xero_Raw!$I$4:$I$42,"Awaiting Payment")</f>
        <v>17796.2</v>
      </c>
      <c r="D17" s="80" t="n">
        <f aca="false">SUMIFS(Xero_Raw!$H$4:$H$42,Xero_Raw!$C$4:$C$42,"Invoice",Xero_Raw!$D$4:$D$42,$A17,Xero_Raw!$I$4:$I$42,"Overdue")</f>
        <v>41874.83</v>
      </c>
      <c r="E17" s="80" t="n">
        <f aca="false">SUMIFS(Xero_Raw!$H$4:$H$42,Xero_Raw!$C$4:$C$42,"Invoice",Xero_Raw!$D$4:$D$42,$A17,Xero_Raw!$I$4:$I$42,"Draft")</f>
        <v>0</v>
      </c>
      <c r="F17" s="80" t="n">
        <f aca="false">SUMIFS(Xero_Raw!$H$4:$H$42,Xero_Raw!$C$4:$C$42,"Invoice",Xero_Raw!$D$4:$D$42,$A17,Xero_Raw!$I$4:$I$42,"Void")</f>
        <v>0</v>
      </c>
      <c r="G17" s="80" t="n">
        <f aca="false">SUMIFS(Xero_Raw!$H$4:$H$42,Xero_Raw!$C$4:$C$42,"Invoice",Xero_Raw!$D$4:$D$42,$A17,Xero_Raw!$I$4:$I$42,"Unsent")</f>
        <v>0</v>
      </c>
      <c r="H17" s="81" t="n">
        <f aca="false">B17+C17+D17</f>
        <v>59671.03</v>
      </c>
    </row>
    <row r="18" customFormat="false" ht="15" hidden="false" customHeight="false" outlineLevel="0" collapsed="false">
      <c r="A18" s="82" t="s">
        <v>451</v>
      </c>
      <c r="B18" s="83" t="n">
        <f aca="false">SUM(B6:B17)</f>
        <v>63080.75</v>
      </c>
      <c r="C18" s="83" t="n">
        <f aca="false">SUM(C6:C17)</f>
        <v>137416.69</v>
      </c>
      <c r="D18" s="83" t="n">
        <f aca="false">SUM(D6:D17)</f>
        <v>181856.02</v>
      </c>
      <c r="E18" s="83" t="n">
        <f aca="false">SUM(E6:E17)</f>
        <v>54527.26</v>
      </c>
      <c r="F18" s="83" t="n">
        <f aca="false">SUM(F6:F17)</f>
        <v>52548.26</v>
      </c>
      <c r="G18" s="83" t="n">
        <f aca="false">SUM(G6:G17)</f>
        <v>57618.07</v>
      </c>
      <c r="H18" s="83" t="n">
        <f aca="false">SUM(H6:H17)</f>
        <v>382353.46</v>
      </c>
    </row>
    <row r="20" customFormat="false" ht="15" hidden="false" customHeight="false" outlineLevel="0" collapsed="false">
      <c r="A20" s="27" t="s">
        <v>547</v>
      </c>
    </row>
    <row r="21" customFormat="false" ht="24" hidden="false" customHeight="true" outlineLevel="0" collapsed="false">
      <c r="A21" s="84" t="s">
        <v>107</v>
      </c>
      <c r="B21" s="84" t="s">
        <v>120</v>
      </c>
      <c r="C21" s="84" t="s">
        <v>489</v>
      </c>
      <c r="D21" s="84" t="s">
        <v>177</v>
      </c>
      <c r="E21" s="84" t="s">
        <v>181</v>
      </c>
      <c r="F21" s="84" t="s">
        <v>495</v>
      </c>
      <c r="G21" s="84" t="s">
        <v>546</v>
      </c>
    </row>
    <row r="22" customFormat="false" ht="15" hidden="false" customHeight="false" outlineLevel="0" collapsed="false">
      <c r="A22" s="76" t="s">
        <v>148</v>
      </c>
      <c r="B22" s="80" t="n">
        <f aca="false">SUMIFS(Stripe_Invoices_Upload!$F$4:$F$21,Stripe_Invoices_Upload!$D$4:$D$21,$A22,Stripe_Invoices_Upload!$G$4:$G$21,"Paid")</f>
        <v>14405.37</v>
      </c>
      <c r="C22" s="80" t="n">
        <f aca="false">SUMIFS(Stripe_Invoices_Upload!$F$4:$F$21,Stripe_Invoices_Upload!$D$4:$D$21,$A22,Stripe_Invoices_Upload!$G$4:$G$21,"Open")</f>
        <v>0</v>
      </c>
      <c r="D22" s="80" t="n">
        <f aca="false">SUMIFS(Stripe_Invoices_Upload!$F$4:$F$21,Stripe_Invoices_Upload!$D$4:$D$21,$A22,Stripe_Invoices_Upload!$G$4:$G$21,"Draft")</f>
        <v>0</v>
      </c>
      <c r="E22" s="80" t="n">
        <f aca="false">SUMIFS(Stripe_Invoices_Upload!$F$4:$F$21,Stripe_Invoices_Upload!$D$4:$D$21,$A22,Stripe_Invoices_Upload!$G$4:$G$21,"Void")</f>
        <v>0</v>
      </c>
      <c r="F22" s="80" t="n">
        <f aca="false">SUMIFS(Stripe_Invoices_Upload!$F$4:$F$21,Stripe_Invoices_Upload!$D$4:$D$21,$A22,Stripe_Invoices_Upload!$G$4:$G$21,"Uncollectible")</f>
        <v>0</v>
      </c>
      <c r="G22" s="81" t="n">
        <f aca="false">B22+C22</f>
        <v>14405.37</v>
      </c>
    </row>
    <row r="23" customFormat="false" ht="15" hidden="false" customHeight="false" outlineLevel="0" collapsed="false">
      <c r="A23" s="76" t="s">
        <v>124</v>
      </c>
      <c r="B23" s="80" t="n">
        <f aca="false">SUMIFS(Stripe_Invoices_Upload!$F$4:$F$21,Stripe_Invoices_Upload!$D$4:$D$21,$A23,Stripe_Invoices_Upload!$G$4:$G$21,"Paid")</f>
        <v>0</v>
      </c>
      <c r="C23" s="80" t="n">
        <f aca="false">SUMIFS(Stripe_Invoices_Upload!$F$4:$F$21,Stripe_Invoices_Upload!$D$4:$D$21,$A23,Stripe_Invoices_Upload!$G$4:$G$21,"Open")</f>
        <v>3063.34</v>
      </c>
      <c r="D23" s="80" t="n">
        <f aca="false">SUMIFS(Stripe_Invoices_Upload!$F$4:$F$21,Stripe_Invoices_Upload!$D$4:$D$21,$A23,Stripe_Invoices_Upload!$G$4:$G$21,"Draft")</f>
        <v>758.82</v>
      </c>
      <c r="E23" s="80" t="n">
        <f aca="false">SUMIFS(Stripe_Invoices_Upload!$F$4:$F$21,Stripe_Invoices_Upload!$D$4:$D$21,$A23,Stripe_Invoices_Upload!$G$4:$G$21,"Void")</f>
        <v>7432.23</v>
      </c>
      <c r="F23" s="80" t="n">
        <f aca="false">SUMIFS(Stripe_Invoices_Upload!$F$4:$F$21,Stripe_Invoices_Upload!$D$4:$D$21,$A23,Stripe_Invoices_Upload!$G$4:$G$21,"Uncollectible")</f>
        <v>0</v>
      </c>
      <c r="G23" s="81" t="n">
        <f aca="false">B23+C23</f>
        <v>3063.34</v>
      </c>
    </row>
    <row r="24" customFormat="false" ht="15" hidden="false" customHeight="false" outlineLevel="0" collapsed="false">
      <c r="A24" s="76" t="s">
        <v>121</v>
      </c>
      <c r="B24" s="80" t="n">
        <f aca="false">SUMIFS(Stripe_Invoices_Upload!$F$4:$F$21,Stripe_Invoices_Upload!$D$4:$D$21,$A24,Stripe_Invoices_Upload!$G$4:$G$21,"Paid")</f>
        <v>0</v>
      </c>
      <c r="C24" s="80" t="n">
        <f aca="false">SUMIFS(Stripe_Invoices_Upload!$F$4:$F$21,Stripe_Invoices_Upload!$D$4:$D$21,$A24,Stripe_Invoices_Upload!$G$4:$G$21,"Open")</f>
        <v>0</v>
      </c>
      <c r="D24" s="80" t="n">
        <f aca="false">SUMIFS(Stripe_Invoices_Upload!$F$4:$F$21,Stripe_Invoices_Upload!$D$4:$D$21,$A24,Stripe_Invoices_Upload!$G$4:$G$21,"Draft")</f>
        <v>0</v>
      </c>
      <c r="E24" s="80" t="n">
        <f aca="false">SUMIFS(Stripe_Invoices_Upload!$F$4:$F$21,Stripe_Invoices_Upload!$D$4:$D$21,$A24,Stripe_Invoices_Upload!$G$4:$G$21,"Void")</f>
        <v>0</v>
      </c>
      <c r="F24" s="80" t="n">
        <f aca="false">SUMIFS(Stripe_Invoices_Upload!$F$4:$F$21,Stripe_Invoices_Upload!$D$4:$D$21,$A24,Stripe_Invoices_Upload!$G$4:$G$21,"Uncollectible")</f>
        <v>7115.41</v>
      </c>
      <c r="G24" s="81" t="n">
        <f aca="false">B24+C24</f>
        <v>0</v>
      </c>
    </row>
    <row r="25" customFormat="false" ht="15" hidden="false" customHeight="false" outlineLevel="0" collapsed="false">
      <c r="A25" s="76" t="s">
        <v>127</v>
      </c>
      <c r="B25" s="80" t="n">
        <f aca="false">SUMIFS(Stripe_Invoices_Upload!$F$4:$F$21,Stripe_Invoices_Upload!$D$4:$D$21,$A25,Stripe_Invoices_Upload!$G$4:$G$21,"Paid")</f>
        <v>5555.12</v>
      </c>
      <c r="C25" s="80" t="n">
        <f aca="false">SUMIFS(Stripe_Invoices_Upload!$F$4:$F$21,Stripe_Invoices_Upload!$D$4:$D$21,$A25,Stripe_Invoices_Upload!$G$4:$G$21,"Open")</f>
        <v>0</v>
      </c>
      <c r="D25" s="80" t="n">
        <f aca="false">SUMIFS(Stripe_Invoices_Upload!$F$4:$F$21,Stripe_Invoices_Upload!$D$4:$D$21,$A25,Stripe_Invoices_Upload!$G$4:$G$21,"Draft")</f>
        <v>0</v>
      </c>
      <c r="E25" s="80" t="n">
        <f aca="false">SUMIFS(Stripe_Invoices_Upload!$F$4:$F$21,Stripe_Invoices_Upload!$D$4:$D$21,$A25,Stripe_Invoices_Upload!$G$4:$G$21,"Void")</f>
        <v>0</v>
      </c>
      <c r="F25" s="80" t="n">
        <f aca="false">SUMIFS(Stripe_Invoices_Upload!$F$4:$F$21,Stripe_Invoices_Upload!$D$4:$D$21,$A25,Stripe_Invoices_Upload!$G$4:$G$21,"Uncollectible")</f>
        <v>0</v>
      </c>
      <c r="G25" s="81" t="n">
        <f aca="false">B25+C25</f>
        <v>5555.12</v>
      </c>
    </row>
    <row r="26" customFormat="false" ht="15" hidden="false" customHeight="false" outlineLevel="0" collapsed="false">
      <c r="A26" s="76" t="s">
        <v>130</v>
      </c>
      <c r="B26" s="80" t="n">
        <f aca="false">SUMIFS(Stripe_Invoices_Upload!$F$4:$F$21,Stripe_Invoices_Upload!$D$4:$D$21,$A26,Stripe_Invoices_Upload!$G$4:$G$21,"Paid")</f>
        <v>0</v>
      </c>
      <c r="C26" s="80" t="n">
        <f aca="false">SUMIFS(Stripe_Invoices_Upload!$F$4:$F$21,Stripe_Invoices_Upload!$D$4:$D$21,$A26,Stripe_Invoices_Upload!$G$4:$G$21,"Open")</f>
        <v>12447.48</v>
      </c>
      <c r="D26" s="80" t="n">
        <f aca="false">SUMIFS(Stripe_Invoices_Upload!$F$4:$F$21,Stripe_Invoices_Upload!$D$4:$D$21,$A26,Stripe_Invoices_Upload!$G$4:$G$21,"Draft")</f>
        <v>3472.78</v>
      </c>
      <c r="E26" s="80" t="n">
        <f aca="false">SUMIFS(Stripe_Invoices_Upload!$F$4:$F$21,Stripe_Invoices_Upload!$D$4:$D$21,$A26,Stripe_Invoices_Upload!$G$4:$G$21,"Void")</f>
        <v>0</v>
      </c>
      <c r="F26" s="80" t="n">
        <f aca="false">SUMIFS(Stripe_Invoices_Upload!$F$4:$F$21,Stripe_Invoices_Upload!$D$4:$D$21,$A26,Stripe_Invoices_Upload!$G$4:$G$21,"Uncollectible")</f>
        <v>5647.09</v>
      </c>
      <c r="G26" s="81" t="n">
        <f aca="false">B26+C26</f>
        <v>12447.48</v>
      </c>
    </row>
    <row r="27" customFormat="false" ht="15" hidden="false" customHeight="false" outlineLevel="0" collapsed="false">
      <c r="A27" s="76" t="s">
        <v>132</v>
      </c>
      <c r="B27" s="80" t="n">
        <f aca="false">SUMIFS(Stripe_Invoices_Upload!$F$4:$F$21,Stripe_Invoices_Upload!$D$4:$D$21,$A27,Stripe_Invoices_Upload!$G$4:$G$21,"Paid")</f>
        <v>6459.5</v>
      </c>
      <c r="C27" s="80" t="n">
        <f aca="false">SUMIFS(Stripe_Invoices_Upload!$F$4:$F$21,Stripe_Invoices_Upload!$D$4:$D$21,$A27,Stripe_Invoices_Upload!$G$4:$G$21,"Open")</f>
        <v>8923.66</v>
      </c>
      <c r="D27" s="80" t="n">
        <f aca="false">SUMIFS(Stripe_Invoices_Upload!$F$4:$F$21,Stripe_Invoices_Upload!$D$4:$D$21,$A27,Stripe_Invoices_Upload!$G$4:$G$21,"Draft")</f>
        <v>0</v>
      </c>
      <c r="E27" s="80" t="n">
        <f aca="false">SUMIFS(Stripe_Invoices_Upload!$F$4:$F$21,Stripe_Invoices_Upload!$D$4:$D$21,$A27,Stripe_Invoices_Upload!$G$4:$G$21,"Void")</f>
        <v>0</v>
      </c>
      <c r="F27" s="80" t="n">
        <f aca="false">SUMIFS(Stripe_Invoices_Upload!$F$4:$F$21,Stripe_Invoices_Upload!$D$4:$D$21,$A27,Stripe_Invoices_Upload!$G$4:$G$21,"Uncollectible")</f>
        <v>0</v>
      </c>
      <c r="G27" s="81" t="n">
        <f aca="false">B27+C27</f>
        <v>15383.16</v>
      </c>
    </row>
    <row r="28" customFormat="false" ht="15" hidden="false" customHeight="false" outlineLevel="0" collapsed="false">
      <c r="A28" s="76" t="s">
        <v>158</v>
      </c>
      <c r="B28" s="80" t="n">
        <f aca="false">SUMIFS(Stripe_Invoices_Upload!$F$4:$F$21,Stripe_Invoices_Upload!$D$4:$D$21,$A28,Stripe_Invoices_Upload!$G$4:$G$21,"Paid")</f>
        <v>4247.04</v>
      </c>
      <c r="C28" s="80" t="n">
        <f aca="false">SUMIFS(Stripe_Invoices_Upload!$F$4:$F$21,Stripe_Invoices_Upload!$D$4:$D$21,$A28,Stripe_Invoices_Upload!$G$4:$G$21,"Open")</f>
        <v>12302.98</v>
      </c>
      <c r="D28" s="80" t="n">
        <f aca="false">SUMIFS(Stripe_Invoices_Upload!$F$4:$F$21,Stripe_Invoices_Upload!$D$4:$D$21,$A28,Stripe_Invoices_Upload!$G$4:$G$21,"Draft")</f>
        <v>2323.41</v>
      </c>
      <c r="E28" s="80" t="n">
        <f aca="false">SUMIFS(Stripe_Invoices_Upload!$F$4:$F$21,Stripe_Invoices_Upload!$D$4:$D$21,$A28,Stripe_Invoices_Upload!$G$4:$G$21,"Void")</f>
        <v>0</v>
      </c>
      <c r="F28" s="80" t="n">
        <f aca="false">SUMIFS(Stripe_Invoices_Upload!$F$4:$F$21,Stripe_Invoices_Upload!$D$4:$D$21,$A28,Stripe_Invoices_Upload!$G$4:$G$21,"Uncollectible")</f>
        <v>0</v>
      </c>
      <c r="G28" s="81" t="n">
        <f aca="false">B28+C28</f>
        <v>16550.02</v>
      </c>
    </row>
    <row r="29" customFormat="false" ht="15" hidden="false" customHeight="false" outlineLevel="0" collapsed="false">
      <c r="A29" s="76" t="s">
        <v>178</v>
      </c>
      <c r="B29" s="80" t="n">
        <f aca="false">SUMIFS(Stripe_Invoices_Upload!$F$4:$F$21,Stripe_Invoices_Upload!$D$4:$D$21,$A29,Stripe_Invoices_Upload!$G$4:$G$21,"Paid")</f>
        <v>0</v>
      </c>
      <c r="C29" s="80" t="n">
        <f aca="false">SUMIFS(Stripe_Invoices_Upload!$F$4:$F$21,Stripe_Invoices_Upload!$D$4:$D$21,$A29,Stripe_Invoices_Upload!$G$4:$G$21,"Open")</f>
        <v>0</v>
      </c>
      <c r="D29" s="80" t="n">
        <f aca="false">SUMIFS(Stripe_Invoices_Upload!$F$4:$F$21,Stripe_Invoices_Upload!$D$4:$D$21,$A29,Stripe_Invoices_Upload!$G$4:$G$21,"Draft")</f>
        <v>0</v>
      </c>
      <c r="E29" s="80" t="n">
        <f aca="false">SUMIFS(Stripe_Invoices_Upload!$F$4:$F$21,Stripe_Invoices_Upload!$D$4:$D$21,$A29,Stripe_Invoices_Upload!$G$4:$G$21,"Void")</f>
        <v>0</v>
      </c>
      <c r="F29" s="80" t="n">
        <f aca="false">SUMIFS(Stripe_Invoices_Upload!$F$4:$F$21,Stripe_Invoices_Upload!$D$4:$D$21,$A29,Stripe_Invoices_Upload!$G$4:$G$21,"Uncollectible")</f>
        <v>0</v>
      </c>
      <c r="G29" s="81" t="n">
        <f aca="false">B29+C29</f>
        <v>0</v>
      </c>
    </row>
    <row r="30" customFormat="false" ht="15" hidden="false" customHeight="false" outlineLevel="0" collapsed="false">
      <c r="A30" s="76" t="s">
        <v>146</v>
      </c>
      <c r="B30" s="80" t="n">
        <f aca="false">SUMIFS(Stripe_Invoices_Upload!$F$4:$F$21,Stripe_Invoices_Upload!$D$4:$D$21,$A30,Stripe_Invoices_Upload!$G$4:$G$21,"Paid")</f>
        <v>0</v>
      </c>
      <c r="C30" s="80" t="n">
        <f aca="false">SUMIFS(Stripe_Invoices_Upload!$F$4:$F$21,Stripe_Invoices_Upload!$D$4:$D$21,$A30,Stripe_Invoices_Upload!$G$4:$G$21,"Open")</f>
        <v>0</v>
      </c>
      <c r="D30" s="80" t="n">
        <f aca="false">SUMIFS(Stripe_Invoices_Upload!$F$4:$F$21,Stripe_Invoices_Upload!$D$4:$D$21,$A30,Stripe_Invoices_Upload!$G$4:$G$21,"Draft")</f>
        <v>0</v>
      </c>
      <c r="E30" s="80" t="n">
        <f aca="false">SUMIFS(Stripe_Invoices_Upload!$F$4:$F$21,Stripe_Invoices_Upload!$D$4:$D$21,$A30,Stripe_Invoices_Upload!$G$4:$G$21,"Void")</f>
        <v>0</v>
      </c>
      <c r="F30" s="80" t="n">
        <f aca="false">SUMIFS(Stripe_Invoices_Upload!$F$4:$F$21,Stripe_Invoices_Upload!$D$4:$D$21,$A30,Stripe_Invoices_Upload!$G$4:$G$21,"Uncollectible")</f>
        <v>0</v>
      </c>
      <c r="G30" s="81" t="n">
        <f aca="false">B30+C30</f>
        <v>0</v>
      </c>
    </row>
    <row r="31" customFormat="false" ht="15" hidden="false" customHeight="false" outlineLevel="0" collapsed="false">
      <c r="A31" s="76" t="s">
        <v>136</v>
      </c>
      <c r="B31" s="80" t="n">
        <f aca="false">SUMIFS(Stripe_Invoices_Upload!$F$4:$F$21,Stripe_Invoices_Upload!$D$4:$D$21,$A31,Stripe_Invoices_Upload!$G$4:$G$21,"Paid")</f>
        <v>0</v>
      </c>
      <c r="C31" s="80" t="n">
        <f aca="false">SUMIFS(Stripe_Invoices_Upload!$F$4:$F$21,Stripe_Invoices_Upload!$D$4:$D$21,$A31,Stripe_Invoices_Upload!$G$4:$G$21,"Open")</f>
        <v>0</v>
      </c>
      <c r="D31" s="80" t="n">
        <f aca="false">SUMIFS(Stripe_Invoices_Upload!$F$4:$F$21,Stripe_Invoices_Upload!$D$4:$D$21,$A31,Stripe_Invoices_Upload!$G$4:$G$21,"Draft")</f>
        <v>0</v>
      </c>
      <c r="E31" s="80" t="n">
        <f aca="false">SUMIFS(Stripe_Invoices_Upload!$F$4:$F$21,Stripe_Invoices_Upload!$D$4:$D$21,$A31,Stripe_Invoices_Upload!$G$4:$G$21,"Void")</f>
        <v>0</v>
      </c>
      <c r="F31" s="80" t="n">
        <f aca="false">SUMIFS(Stripe_Invoices_Upload!$F$4:$F$21,Stripe_Invoices_Upload!$D$4:$D$21,$A31,Stripe_Invoices_Upload!$G$4:$G$21,"Uncollectible")</f>
        <v>0</v>
      </c>
      <c r="G31" s="81" t="n">
        <f aca="false">B31+C31</f>
        <v>0</v>
      </c>
    </row>
    <row r="32" customFormat="false" ht="15" hidden="false" customHeight="false" outlineLevel="0" collapsed="false">
      <c r="A32" s="76" t="s">
        <v>116</v>
      </c>
      <c r="B32" s="80" t="n">
        <f aca="false">SUMIFS(Stripe_Invoices_Upload!$F$4:$F$21,Stripe_Invoices_Upload!$D$4:$D$21,$A32,Stripe_Invoices_Upload!$G$4:$G$21,"Paid")</f>
        <v>0</v>
      </c>
      <c r="C32" s="80" t="n">
        <f aca="false">SUMIFS(Stripe_Invoices_Upload!$F$4:$F$21,Stripe_Invoices_Upload!$D$4:$D$21,$A32,Stripe_Invoices_Upload!$G$4:$G$21,"Open")</f>
        <v>0</v>
      </c>
      <c r="D32" s="80" t="n">
        <f aca="false">SUMIFS(Stripe_Invoices_Upload!$F$4:$F$21,Stripe_Invoices_Upload!$D$4:$D$21,$A32,Stripe_Invoices_Upload!$G$4:$G$21,"Draft")</f>
        <v>0</v>
      </c>
      <c r="E32" s="80" t="n">
        <f aca="false">SUMIFS(Stripe_Invoices_Upload!$F$4:$F$21,Stripe_Invoices_Upload!$D$4:$D$21,$A32,Stripe_Invoices_Upload!$G$4:$G$21,"Void")</f>
        <v>0</v>
      </c>
      <c r="F32" s="80" t="n">
        <f aca="false">SUMIFS(Stripe_Invoices_Upload!$F$4:$F$21,Stripe_Invoices_Upload!$D$4:$D$21,$A32,Stripe_Invoices_Upload!$G$4:$G$21,"Uncollectible")</f>
        <v>0</v>
      </c>
      <c r="G32" s="81" t="n">
        <f aca="false">B32+C32</f>
        <v>0</v>
      </c>
    </row>
    <row r="33" customFormat="false" ht="15" hidden="false" customHeight="false" outlineLevel="0" collapsed="false">
      <c r="A33" s="76" t="s">
        <v>144</v>
      </c>
      <c r="B33" s="80" t="n">
        <f aca="false">SUMIFS(Stripe_Invoices_Upload!$F$4:$F$21,Stripe_Invoices_Upload!$D$4:$D$21,$A33,Stripe_Invoices_Upload!$G$4:$G$21,"Paid")</f>
        <v>0</v>
      </c>
      <c r="C33" s="80" t="n">
        <f aca="false">SUMIFS(Stripe_Invoices_Upload!$F$4:$F$21,Stripe_Invoices_Upload!$D$4:$D$21,$A33,Stripe_Invoices_Upload!$G$4:$G$21,"Open")</f>
        <v>0</v>
      </c>
      <c r="D33" s="80" t="n">
        <f aca="false">SUMIFS(Stripe_Invoices_Upload!$F$4:$F$21,Stripe_Invoices_Upload!$D$4:$D$21,$A33,Stripe_Invoices_Upload!$G$4:$G$21,"Draft")</f>
        <v>0</v>
      </c>
      <c r="E33" s="80" t="n">
        <f aca="false">SUMIFS(Stripe_Invoices_Upload!$F$4:$F$21,Stripe_Invoices_Upload!$D$4:$D$21,$A33,Stripe_Invoices_Upload!$G$4:$G$21,"Void")</f>
        <v>0</v>
      </c>
      <c r="F33" s="80" t="n">
        <f aca="false">SUMIFS(Stripe_Invoices_Upload!$F$4:$F$21,Stripe_Invoices_Upload!$D$4:$D$21,$A33,Stripe_Invoices_Upload!$G$4:$G$21,"Uncollectible")</f>
        <v>0</v>
      </c>
      <c r="G33" s="81" t="n">
        <f aca="false">B33+C33</f>
        <v>0</v>
      </c>
    </row>
    <row r="34" customFormat="false" ht="15" hidden="false" customHeight="false" outlineLevel="0" collapsed="false">
      <c r="A34" s="82" t="s">
        <v>451</v>
      </c>
      <c r="B34" s="83" t="n">
        <f aca="false">SUM(B22:B33)</f>
        <v>30667.03</v>
      </c>
      <c r="C34" s="83" t="n">
        <f aca="false">SUM(C22:C33)</f>
        <v>36737.46</v>
      </c>
      <c r="D34" s="83" t="n">
        <f aca="false">SUM(D22:D33)</f>
        <v>6555.01</v>
      </c>
      <c r="E34" s="83" t="n">
        <f aca="false">SUM(E22:E33)</f>
        <v>7432.23</v>
      </c>
      <c r="F34" s="83" t="n">
        <f aca="false">SUM(F22:F33)</f>
        <v>12762.5</v>
      </c>
      <c r="G34" s="83" t="n">
        <f aca="false">SUM(G22:G33)</f>
        <v>67404.49</v>
      </c>
    </row>
    <row r="36" customFormat="false" ht="15" hidden="false" customHeight="false" outlineLevel="0" collapsed="false">
      <c r="A36" s="27" t="s">
        <v>548</v>
      </c>
    </row>
    <row r="37" customFormat="false" ht="24" hidden="false" customHeight="true" outlineLevel="0" collapsed="false">
      <c r="A37" s="79" t="s">
        <v>107</v>
      </c>
      <c r="B37" s="79" t="s">
        <v>549</v>
      </c>
      <c r="C37" s="79" t="s">
        <v>550</v>
      </c>
      <c r="D37" s="79" t="s">
        <v>551</v>
      </c>
      <c r="E37" s="79" t="s">
        <v>552</v>
      </c>
      <c r="F37" s="79" t="s">
        <v>553</v>
      </c>
      <c r="G37" s="79" t="s">
        <v>554</v>
      </c>
    </row>
    <row r="38" customFormat="false" ht="15" hidden="false" customHeight="false" outlineLevel="0" collapsed="false">
      <c r="A38" s="76" t="s">
        <v>148</v>
      </c>
      <c r="B38" s="85" t="n">
        <f aca="false">COUNTIFS(Xero_Raw!$C$4:$C$42,"Invoice",Xero_Raw!$D$4:$D$42,$A38,Xero_Raw!$I$4:$I$42,"Paid")</f>
        <v>2</v>
      </c>
      <c r="C38" s="85" t="n">
        <f aca="false">COUNTIFS(Xero_Raw!$C$4:$C$42,"Invoice",Xero_Raw!$D$4:$D$42,$A38,Xero_Raw!$I$4:$I$42,"Awaiting Payment")+COUNTIFS(Xero_Raw!$C$4:$C$42,"Invoice",Xero_Raw!$D$4:$D$42,$A38,Xero_Raw!$I$4:$I$42,"Overdue")</f>
        <v>1</v>
      </c>
      <c r="D38" s="85" t="n">
        <f aca="false">COUNTIFS(Xero_Raw!$C$4:$C$42,"Invoice",Xero_Raw!$D$4:$D$42,$A38,Xero_Raw!$I$4:$I$42,"Draft")+COUNTIFS(Xero_Raw!$C$4:$C$42,"Invoice",Xero_Raw!$D$4:$D$42,$A38,Xero_Raw!$I$4:$I$42,"Void")+COUNTIFS(Xero_Raw!$C$4:$C$42,"Invoice",Xero_Raw!$D$4:$D$42,$A38,Xero_Raw!$I$4:$I$42,"Unsent")</f>
        <v>1</v>
      </c>
      <c r="E38" s="85" t="n">
        <f aca="false">COUNTIFS(Stripe_Invoices_Upload!$D$4:$D$21,$A38,Stripe_Invoices_Upload!$G$4:$G$21,"Paid")</f>
        <v>3</v>
      </c>
      <c r="F38" s="85" t="n">
        <f aca="false">COUNTIFS(Stripe_Invoices_Upload!$D$4:$D$21,$A38,Stripe_Invoices_Upload!$G$4:$G$21,"Open")</f>
        <v>0</v>
      </c>
      <c r="G38" s="85" t="n">
        <f aca="false">COUNTIFS(Stripe_Invoices_Upload!$D$4:$D$21,$A38,Stripe_Invoices_Upload!$G$4:$G$21,"Draft")+COUNTIFS(Stripe_Invoices_Upload!$D$4:$D$21,$A38,Stripe_Invoices_Upload!$G$4:$G$21,"Void")+COUNTIFS(Stripe_Invoices_Upload!$D$4:$D$21,$A38,Stripe_Invoices_Upload!$G$4:$G$21,"Uncollectible")</f>
        <v>0</v>
      </c>
    </row>
    <row r="39" customFormat="false" ht="15" hidden="false" customHeight="false" outlineLevel="0" collapsed="false">
      <c r="A39" s="76" t="s">
        <v>124</v>
      </c>
      <c r="B39" s="85" t="n">
        <f aca="false">COUNTIFS(Xero_Raw!$C$4:$C$42,"Invoice",Xero_Raw!$D$4:$D$42,$A39,Xero_Raw!$I$4:$I$42,"Paid")</f>
        <v>1</v>
      </c>
      <c r="C39" s="85" t="n">
        <f aca="false">COUNTIFS(Xero_Raw!$C$4:$C$42,"Invoice",Xero_Raw!$D$4:$D$42,$A39,Xero_Raw!$I$4:$I$42,"Awaiting Payment")+COUNTIFS(Xero_Raw!$C$4:$C$42,"Invoice",Xero_Raw!$D$4:$D$42,$A39,Xero_Raw!$I$4:$I$42,"Overdue")</f>
        <v>0</v>
      </c>
      <c r="D39" s="85" t="n">
        <f aca="false">COUNTIFS(Xero_Raw!$C$4:$C$42,"Invoice",Xero_Raw!$D$4:$D$42,$A39,Xero_Raw!$I$4:$I$42,"Draft")+COUNTIFS(Xero_Raw!$C$4:$C$42,"Invoice",Xero_Raw!$D$4:$D$42,$A39,Xero_Raw!$I$4:$I$42,"Void")+COUNTIFS(Xero_Raw!$C$4:$C$42,"Invoice",Xero_Raw!$D$4:$D$42,$A39,Xero_Raw!$I$4:$I$42,"Unsent")</f>
        <v>1</v>
      </c>
      <c r="E39" s="85" t="n">
        <f aca="false">COUNTIFS(Stripe_Invoices_Upload!$D$4:$D$21,$A39,Stripe_Invoices_Upload!$G$4:$G$21,"Paid")</f>
        <v>0</v>
      </c>
      <c r="F39" s="85" t="n">
        <f aca="false">COUNTIFS(Stripe_Invoices_Upload!$D$4:$D$21,$A39,Stripe_Invoices_Upload!$G$4:$G$21,"Open")</f>
        <v>1</v>
      </c>
      <c r="G39" s="85" t="n">
        <f aca="false">COUNTIFS(Stripe_Invoices_Upload!$D$4:$D$21,$A39,Stripe_Invoices_Upload!$G$4:$G$21,"Draft")+COUNTIFS(Stripe_Invoices_Upload!$D$4:$D$21,$A39,Stripe_Invoices_Upload!$G$4:$G$21,"Void")+COUNTIFS(Stripe_Invoices_Upload!$D$4:$D$21,$A39,Stripe_Invoices_Upload!$G$4:$G$21,"Uncollectible")</f>
        <v>2</v>
      </c>
    </row>
    <row r="40" customFormat="false" ht="15" hidden="false" customHeight="false" outlineLevel="0" collapsed="false">
      <c r="A40" s="76" t="s">
        <v>121</v>
      </c>
      <c r="B40" s="85" t="n">
        <f aca="false">COUNTIFS(Xero_Raw!$C$4:$C$42,"Invoice",Xero_Raw!$D$4:$D$42,$A40,Xero_Raw!$I$4:$I$42,"Paid")</f>
        <v>1</v>
      </c>
      <c r="C40" s="85" t="n">
        <f aca="false">COUNTIFS(Xero_Raw!$C$4:$C$42,"Invoice",Xero_Raw!$D$4:$D$42,$A40,Xero_Raw!$I$4:$I$42,"Awaiting Payment")+COUNTIFS(Xero_Raw!$C$4:$C$42,"Invoice",Xero_Raw!$D$4:$D$42,$A40,Xero_Raw!$I$4:$I$42,"Overdue")</f>
        <v>0</v>
      </c>
      <c r="D40" s="85" t="n">
        <f aca="false">COUNTIFS(Xero_Raw!$C$4:$C$42,"Invoice",Xero_Raw!$D$4:$D$42,$A40,Xero_Raw!$I$4:$I$42,"Draft")+COUNTIFS(Xero_Raw!$C$4:$C$42,"Invoice",Xero_Raw!$D$4:$D$42,$A40,Xero_Raw!$I$4:$I$42,"Void")+COUNTIFS(Xero_Raw!$C$4:$C$42,"Invoice",Xero_Raw!$D$4:$D$42,$A40,Xero_Raw!$I$4:$I$42,"Unsent")</f>
        <v>0</v>
      </c>
      <c r="E40" s="85" t="n">
        <f aca="false">COUNTIFS(Stripe_Invoices_Upload!$D$4:$D$21,$A40,Stripe_Invoices_Upload!$G$4:$G$21,"Paid")</f>
        <v>0</v>
      </c>
      <c r="F40" s="85" t="n">
        <f aca="false">COUNTIFS(Stripe_Invoices_Upload!$D$4:$D$21,$A40,Stripe_Invoices_Upload!$G$4:$G$21,"Open")</f>
        <v>0</v>
      </c>
      <c r="G40" s="85" t="n">
        <f aca="false">COUNTIFS(Stripe_Invoices_Upload!$D$4:$D$21,$A40,Stripe_Invoices_Upload!$G$4:$G$21,"Draft")+COUNTIFS(Stripe_Invoices_Upload!$D$4:$D$21,$A40,Stripe_Invoices_Upload!$G$4:$G$21,"Void")+COUNTIFS(Stripe_Invoices_Upload!$D$4:$D$21,$A40,Stripe_Invoices_Upload!$G$4:$G$21,"Uncollectible")</f>
        <v>1</v>
      </c>
    </row>
    <row r="41" customFormat="false" ht="15" hidden="false" customHeight="false" outlineLevel="0" collapsed="false">
      <c r="A41" s="76" t="s">
        <v>127</v>
      </c>
      <c r="B41" s="85" t="n">
        <f aca="false">COUNTIFS(Xero_Raw!$C$4:$C$42,"Invoice",Xero_Raw!$D$4:$D$42,$A41,Xero_Raw!$I$4:$I$42,"Paid")</f>
        <v>0</v>
      </c>
      <c r="C41" s="85" t="n">
        <f aca="false">COUNTIFS(Xero_Raw!$C$4:$C$42,"Invoice",Xero_Raw!$D$4:$D$42,$A41,Xero_Raw!$I$4:$I$42,"Awaiting Payment")+COUNTIFS(Xero_Raw!$C$4:$C$42,"Invoice",Xero_Raw!$D$4:$D$42,$A41,Xero_Raw!$I$4:$I$42,"Overdue")</f>
        <v>0</v>
      </c>
      <c r="D41" s="85" t="n">
        <f aca="false">COUNTIFS(Xero_Raw!$C$4:$C$42,"Invoice",Xero_Raw!$D$4:$D$42,$A41,Xero_Raw!$I$4:$I$42,"Draft")+COUNTIFS(Xero_Raw!$C$4:$C$42,"Invoice",Xero_Raw!$D$4:$D$42,$A41,Xero_Raw!$I$4:$I$42,"Void")+COUNTIFS(Xero_Raw!$C$4:$C$42,"Invoice",Xero_Raw!$D$4:$D$42,$A41,Xero_Raw!$I$4:$I$42,"Unsent")</f>
        <v>0</v>
      </c>
      <c r="E41" s="85" t="n">
        <f aca="false">COUNTIFS(Stripe_Invoices_Upload!$D$4:$D$21,$A41,Stripe_Invoices_Upload!$G$4:$G$21,"Paid")</f>
        <v>1</v>
      </c>
      <c r="F41" s="85" t="n">
        <f aca="false">COUNTIFS(Stripe_Invoices_Upload!$D$4:$D$21,$A41,Stripe_Invoices_Upload!$G$4:$G$21,"Open")</f>
        <v>0</v>
      </c>
      <c r="G41" s="85" t="n">
        <f aca="false">COUNTIFS(Stripe_Invoices_Upload!$D$4:$D$21,$A41,Stripe_Invoices_Upload!$G$4:$G$21,"Draft")+COUNTIFS(Stripe_Invoices_Upload!$D$4:$D$21,$A41,Stripe_Invoices_Upload!$G$4:$G$21,"Void")+COUNTIFS(Stripe_Invoices_Upload!$D$4:$D$21,$A41,Stripe_Invoices_Upload!$G$4:$G$21,"Uncollectible")</f>
        <v>0</v>
      </c>
    </row>
    <row r="42" customFormat="false" ht="15" hidden="false" customHeight="false" outlineLevel="0" collapsed="false">
      <c r="A42" s="76" t="s">
        <v>130</v>
      </c>
      <c r="B42" s="85" t="n">
        <f aca="false">COUNTIFS(Xero_Raw!$C$4:$C$42,"Invoice",Xero_Raw!$D$4:$D$42,$A42,Xero_Raw!$I$4:$I$42,"Paid")</f>
        <v>0</v>
      </c>
      <c r="C42" s="85" t="n">
        <f aca="false">COUNTIFS(Xero_Raw!$C$4:$C$42,"Invoice",Xero_Raw!$D$4:$D$42,$A42,Xero_Raw!$I$4:$I$42,"Awaiting Payment")+COUNTIFS(Xero_Raw!$C$4:$C$42,"Invoice",Xero_Raw!$D$4:$D$42,$A42,Xero_Raw!$I$4:$I$42,"Overdue")</f>
        <v>0</v>
      </c>
      <c r="D42" s="85" t="n">
        <f aca="false">COUNTIFS(Xero_Raw!$C$4:$C$42,"Invoice",Xero_Raw!$D$4:$D$42,$A42,Xero_Raw!$I$4:$I$42,"Draft")+COUNTIFS(Xero_Raw!$C$4:$C$42,"Invoice",Xero_Raw!$D$4:$D$42,$A42,Xero_Raw!$I$4:$I$42,"Void")+COUNTIFS(Xero_Raw!$C$4:$C$42,"Invoice",Xero_Raw!$D$4:$D$42,$A42,Xero_Raw!$I$4:$I$42,"Unsent")</f>
        <v>0</v>
      </c>
      <c r="E42" s="85" t="n">
        <f aca="false">COUNTIFS(Stripe_Invoices_Upload!$D$4:$D$21,$A42,Stripe_Invoices_Upload!$G$4:$G$21,"Paid")</f>
        <v>0</v>
      </c>
      <c r="F42" s="85" t="n">
        <f aca="false">COUNTIFS(Stripe_Invoices_Upload!$D$4:$D$21,$A42,Stripe_Invoices_Upload!$G$4:$G$21,"Open")</f>
        <v>2</v>
      </c>
      <c r="G42" s="85" t="n">
        <f aca="false">COUNTIFS(Stripe_Invoices_Upload!$D$4:$D$21,$A42,Stripe_Invoices_Upload!$G$4:$G$21,"Draft")+COUNTIFS(Stripe_Invoices_Upload!$D$4:$D$21,$A42,Stripe_Invoices_Upload!$G$4:$G$21,"Void")+COUNTIFS(Stripe_Invoices_Upload!$D$4:$D$21,$A42,Stripe_Invoices_Upload!$G$4:$G$21,"Uncollectible")</f>
        <v>2</v>
      </c>
    </row>
    <row r="43" customFormat="false" ht="15" hidden="false" customHeight="false" outlineLevel="0" collapsed="false">
      <c r="A43" s="76" t="s">
        <v>132</v>
      </c>
      <c r="B43" s="85" t="n">
        <f aca="false">COUNTIFS(Xero_Raw!$C$4:$C$42,"Invoice",Xero_Raw!$D$4:$D$42,$A43,Xero_Raw!$I$4:$I$42,"Paid")</f>
        <v>1</v>
      </c>
      <c r="C43" s="85" t="n">
        <f aca="false">COUNTIFS(Xero_Raw!$C$4:$C$42,"Invoice",Xero_Raw!$D$4:$D$42,$A43,Xero_Raw!$I$4:$I$42,"Awaiting Payment")+COUNTIFS(Xero_Raw!$C$4:$C$42,"Invoice",Xero_Raw!$D$4:$D$42,$A43,Xero_Raw!$I$4:$I$42,"Overdue")</f>
        <v>1</v>
      </c>
      <c r="D43" s="85" t="n">
        <f aca="false">COUNTIFS(Xero_Raw!$C$4:$C$42,"Invoice",Xero_Raw!$D$4:$D$42,$A43,Xero_Raw!$I$4:$I$42,"Draft")+COUNTIFS(Xero_Raw!$C$4:$C$42,"Invoice",Xero_Raw!$D$4:$D$42,$A43,Xero_Raw!$I$4:$I$42,"Void")+COUNTIFS(Xero_Raw!$C$4:$C$42,"Invoice",Xero_Raw!$D$4:$D$42,$A43,Xero_Raw!$I$4:$I$42,"Unsent")</f>
        <v>0</v>
      </c>
      <c r="E43" s="85" t="n">
        <f aca="false">COUNTIFS(Stripe_Invoices_Upload!$D$4:$D$21,$A43,Stripe_Invoices_Upload!$G$4:$G$21,"Paid")</f>
        <v>1</v>
      </c>
      <c r="F43" s="85" t="n">
        <f aca="false">COUNTIFS(Stripe_Invoices_Upload!$D$4:$D$21,$A43,Stripe_Invoices_Upload!$G$4:$G$21,"Open")</f>
        <v>1</v>
      </c>
      <c r="G43" s="85" t="n">
        <f aca="false">COUNTIFS(Stripe_Invoices_Upload!$D$4:$D$21,$A43,Stripe_Invoices_Upload!$G$4:$G$21,"Draft")+COUNTIFS(Stripe_Invoices_Upload!$D$4:$D$21,$A43,Stripe_Invoices_Upload!$G$4:$G$21,"Void")+COUNTIFS(Stripe_Invoices_Upload!$D$4:$D$21,$A43,Stripe_Invoices_Upload!$G$4:$G$21,"Uncollectible")</f>
        <v>0</v>
      </c>
    </row>
    <row r="44" customFormat="false" ht="15" hidden="false" customHeight="false" outlineLevel="0" collapsed="false">
      <c r="A44" s="76" t="s">
        <v>158</v>
      </c>
      <c r="B44" s="85" t="n">
        <f aca="false">COUNTIFS(Xero_Raw!$C$4:$C$42,"Invoice",Xero_Raw!$D$4:$D$42,$A44,Xero_Raw!$I$4:$I$42,"Paid")</f>
        <v>0</v>
      </c>
      <c r="C44" s="85" t="n">
        <f aca="false">COUNTIFS(Xero_Raw!$C$4:$C$42,"Invoice",Xero_Raw!$D$4:$D$42,$A44,Xero_Raw!$I$4:$I$42,"Awaiting Payment")+COUNTIFS(Xero_Raw!$C$4:$C$42,"Invoice",Xero_Raw!$D$4:$D$42,$A44,Xero_Raw!$I$4:$I$42,"Overdue")</f>
        <v>0</v>
      </c>
      <c r="D44" s="85" t="n">
        <f aca="false">COUNTIFS(Xero_Raw!$C$4:$C$42,"Invoice",Xero_Raw!$D$4:$D$42,$A44,Xero_Raw!$I$4:$I$42,"Draft")+COUNTIFS(Xero_Raw!$C$4:$C$42,"Invoice",Xero_Raw!$D$4:$D$42,$A44,Xero_Raw!$I$4:$I$42,"Void")+COUNTIFS(Xero_Raw!$C$4:$C$42,"Invoice",Xero_Raw!$D$4:$D$42,$A44,Xero_Raw!$I$4:$I$42,"Unsent")</f>
        <v>3</v>
      </c>
      <c r="E44" s="85" t="n">
        <f aca="false">COUNTIFS(Stripe_Invoices_Upload!$D$4:$D$21,$A44,Stripe_Invoices_Upload!$G$4:$G$21,"Paid")</f>
        <v>1</v>
      </c>
      <c r="F44" s="85" t="n">
        <f aca="false">COUNTIFS(Stripe_Invoices_Upload!$D$4:$D$21,$A44,Stripe_Invoices_Upload!$G$4:$G$21,"Open")</f>
        <v>2</v>
      </c>
      <c r="G44" s="85" t="n">
        <f aca="false">COUNTIFS(Stripe_Invoices_Upload!$D$4:$D$21,$A44,Stripe_Invoices_Upload!$G$4:$G$21,"Draft")+COUNTIFS(Stripe_Invoices_Upload!$D$4:$D$21,$A44,Stripe_Invoices_Upload!$G$4:$G$21,"Void")+COUNTIFS(Stripe_Invoices_Upload!$D$4:$D$21,$A44,Stripe_Invoices_Upload!$G$4:$G$21,"Uncollectible")</f>
        <v>1</v>
      </c>
    </row>
    <row r="45" customFormat="false" ht="15" hidden="false" customHeight="false" outlineLevel="0" collapsed="false">
      <c r="A45" s="76" t="s">
        <v>178</v>
      </c>
      <c r="B45" s="85" t="n">
        <f aca="false">COUNTIFS(Xero_Raw!$C$4:$C$42,"Invoice",Xero_Raw!$D$4:$D$42,$A45,Xero_Raw!$I$4:$I$42,"Paid")</f>
        <v>0</v>
      </c>
      <c r="C45" s="85" t="n">
        <f aca="false">COUNTIFS(Xero_Raw!$C$4:$C$42,"Invoice",Xero_Raw!$D$4:$D$42,$A45,Xero_Raw!$I$4:$I$42,"Awaiting Payment")+COUNTIFS(Xero_Raw!$C$4:$C$42,"Invoice",Xero_Raw!$D$4:$D$42,$A45,Xero_Raw!$I$4:$I$42,"Overdue")</f>
        <v>1</v>
      </c>
      <c r="D45" s="85" t="n">
        <f aca="false">COUNTIFS(Xero_Raw!$C$4:$C$42,"Invoice",Xero_Raw!$D$4:$D$42,$A45,Xero_Raw!$I$4:$I$42,"Draft")+COUNTIFS(Xero_Raw!$C$4:$C$42,"Invoice",Xero_Raw!$D$4:$D$42,$A45,Xero_Raw!$I$4:$I$42,"Void")+COUNTIFS(Xero_Raw!$C$4:$C$42,"Invoice",Xero_Raw!$D$4:$D$42,$A45,Xero_Raw!$I$4:$I$42,"Unsent")</f>
        <v>1</v>
      </c>
      <c r="E45" s="85" t="n">
        <f aca="false">COUNTIFS(Stripe_Invoices_Upload!$D$4:$D$21,$A45,Stripe_Invoices_Upload!$G$4:$G$21,"Paid")</f>
        <v>0</v>
      </c>
      <c r="F45" s="85" t="n">
        <f aca="false">COUNTIFS(Stripe_Invoices_Upload!$D$4:$D$21,$A45,Stripe_Invoices_Upload!$G$4:$G$21,"Open")</f>
        <v>0</v>
      </c>
      <c r="G45" s="85" t="n">
        <f aca="false">COUNTIFS(Stripe_Invoices_Upload!$D$4:$D$21,$A45,Stripe_Invoices_Upload!$G$4:$G$21,"Draft")+COUNTIFS(Stripe_Invoices_Upload!$D$4:$D$21,$A45,Stripe_Invoices_Upload!$G$4:$G$21,"Void")+COUNTIFS(Stripe_Invoices_Upload!$D$4:$D$21,$A45,Stripe_Invoices_Upload!$G$4:$G$21,"Uncollectible")</f>
        <v>0</v>
      </c>
    </row>
    <row r="46" customFormat="false" ht="15" hidden="false" customHeight="false" outlineLevel="0" collapsed="false">
      <c r="A46" s="76" t="s">
        <v>146</v>
      </c>
      <c r="B46" s="85" t="n">
        <f aca="false">COUNTIFS(Xero_Raw!$C$4:$C$42,"Invoice",Xero_Raw!$D$4:$D$42,$A46,Xero_Raw!$I$4:$I$42,"Paid")</f>
        <v>1</v>
      </c>
      <c r="C46" s="85" t="n">
        <f aca="false">COUNTIFS(Xero_Raw!$C$4:$C$42,"Invoice",Xero_Raw!$D$4:$D$42,$A46,Xero_Raw!$I$4:$I$42,"Awaiting Payment")+COUNTIFS(Xero_Raw!$C$4:$C$42,"Invoice",Xero_Raw!$D$4:$D$42,$A46,Xero_Raw!$I$4:$I$42,"Overdue")</f>
        <v>1</v>
      </c>
      <c r="D46" s="85" t="n">
        <f aca="false">COUNTIFS(Xero_Raw!$C$4:$C$42,"Invoice",Xero_Raw!$D$4:$D$42,$A46,Xero_Raw!$I$4:$I$42,"Draft")+COUNTIFS(Xero_Raw!$C$4:$C$42,"Invoice",Xero_Raw!$D$4:$D$42,$A46,Xero_Raw!$I$4:$I$42,"Void")+COUNTIFS(Xero_Raw!$C$4:$C$42,"Invoice",Xero_Raw!$D$4:$D$42,$A46,Xero_Raw!$I$4:$I$42,"Unsent")</f>
        <v>0</v>
      </c>
      <c r="E46" s="85" t="n">
        <f aca="false">COUNTIFS(Stripe_Invoices_Upload!$D$4:$D$21,$A46,Stripe_Invoices_Upload!$G$4:$G$21,"Paid")</f>
        <v>0</v>
      </c>
      <c r="F46" s="85" t="n">
        <f aca="false">COUNTIFS(Stripe_Invoices_Upload!$D$4:$D$21,$A46,Stripe_Invoices_Upload!$G$4:$G$21,"Open")</f>
        <v>0</v>
      </c>
      <c r="G46" s="85" t="n">
        <f aca="false">COUNTIFS(Stripe_Invoices_Upload!$D$4:$D$21,$A46,Stripe_Invoices_Upload!$G$4:$G$21,"Draft")+COUNTIFS(Stripe_Invoices_Upload!$D$4:$D$21,$A46,Stripe_Invoices_Upload!$G$4:$G$21,"Void")+COUNTIFS(Stripe_Invoices_Upload!$D$4:$D$21,$A46,Stripe_Invoices_Upload!$G$4:$G$21,"Uncollectible")</f>
        <v>0</v>
      </c>
    </row>
    <row r="47" customFormat="false" ht="15" hidden="false" customHeight="false" outlineLevel="0" collapsed="false">
      <c r="A47" s="76" t="s">
        <v>136</v>
      </c>
      <c r="B47" s="85" t="n">
        <f aca="false">COUNTIFS(Xero_Raw!$C$4:$C$42,"Invoice",Xero_Raw!$D$4:$D$42,$A47,Xero_Raw!$I$4:$I$42,"Paid")</f>
        <v>0</v>
      </c>
      <c r="C47" s="85" t="n">
        <f aca="false">COUNTIFS(Xero_Raw!$C$4:$C$42,"Invoice",Xero_Raw!$D$4:$D$42,$A47,Xero_Raw!$I$4:$I$42,"Awaiting Payment")+COUNTIFS(Xero_Raw!$C$4:$C$42,"Invoice",Xero_Raw!$D$4:$D$42,$A47,Xero_Raw!$I$4:$I$42,"Overdue")</f>
        <v>2</v>
      </c>
      <c r="D47" s="85" t="n">
        <f aca="false">COUNTIFS(Xero_Raw!$C$4:$C$42,"Invoice",Xero_Raw!$D$4:$D$42,$A47,Xero_Raw!$I$4:$I$42,"Draft")+COUNTIFS(Xero_Raw!$C$4:$C$42,"Invoice",Xero_Raw!$D$4:$D$42,$A47,Xero_Raw!$I$4:$I$42,"Void")+COUNTIFS(Xero_Raw!$C$4:$C$42,"Invoice",Xero_Raw!$D$4:$D$42,$A47,Xero_Raw!$I$4:$I$42,"Unsent")</f>
        <v>1</v>
      </c>
      <c r="E47" s="85" t="n">
        <f aca="false">COUNTIFS(Stripe_Invoices_Upload!$D$4:$D$21,$A47,Stripe_Invoices_Upload!$G$4:$G$21,"Paid")</f>
        <v>0</v>
      </c>
      <c r="F47" s="85" t="n">
        <f aca="false">COUNTIFS(Stripe_Invoices_Upload!$D$4:$D$21,$A47,Stripe_Invoices_Upload!$G$4:$G$21,"Open")</f>
        <v>0</v>
      </c>
      <c r="G47" s="85" t="n">
        <f aca="false">COUNTIFS(Stripe_Invoices_Upload!$D$4:$D$21,$A47,Stripe_Invoices_Upload!$G$4:$G$21,"Draft")+COUNTIFS(Stripe_Invoices_Upload!$D$4:$D$21,$A47,Stripe_Invoices_Upload!$G$4:$G$21,"Void")+COUNTIFS(Stripe_Invoices_Upload!$D$4:$D$21,$A47,Stripe_Invoices_Upload!$G$4:$G$21,"Uncollectible")</f>
        <v>0</v>
      </c>
    </row>
    <row r="48" customFormat="false" ht="15" hidden="false" customHeight="false" outlineLevel="0" collapsed="false">
      <c r="A48" s="76" t="s">
        <v>116</v>
      </c>
      <c r="B48" s="85" t="n">
        <f aca="false">COUNTIFS(Xero_Raw!$C$4:$C$42,"Invoice",Xero_Raw!$D$4:$D$42,$A48,Xero_Raw!$I$4:$I$42,"Paid")</f>
        <v>0</v>
      </c>
      <c r="C48" s="85" t="n">
        <f aca="false">COUNTIFS(Xero_Raw!$C$4:$C$42,"Invoice",Xero_Raw!$D$4:$D$42,$A48,Xero_Raw!$I$4:$I$42,"Awaiting Payment")+COUNTIFS(Xero_Raw!$C$4:$C$42,"Invoice",Xero_Raw!$D$4:$D$42,$A48,Xero_Raw!$I$4:$I$42,"Overdue")</f>
        <v>2</v>
      </c>
      <c r="D48" s="85" t="n">
        <f aca="false">COUNTIFS(Xero_Raw!$C$4:$C$42,"Invoice",Xero_Raw!$D$4:$D$42,$A48,Xero_Raw!$I$4:$I$42,"Draft")+COUNTIFS(Xero_Raw!$C$4:$C$42,"Invoice",Xero_Raw!$D$4:$D$42,$A48,Xero_Raw!$I$4:$I$42,"Void")+COUNTIFS(Xero_Raw!$C$4:$C$42,"Invoice",Xero_Raw!$D$4:$D$42,$A48,Xero_Raw!$I$4:$I$42,"Unsent")</f>
        <v>1</v>
      </c>
      <c r="E48" s="85" t="n">
        <f aca="false">COUNTIFS(Stripe_Invoices_Upload!$D$4:$D$21,$A48,Stripe_Invoices_Upload!$G$4:$G$21,"Paid")</f>
        <v>0</v>
      </c>
      <c r="F48" s="85" t="n">
        <f aca="false">COUNTIFS(Stripe_Invoices_Upload!$D$4:$D$21,$A48,Stripe_Invoices_Upload!$G$4:$G$21,"Open")</f>
        <v>0</v>
      </c>
      <c r="G48" s="85" t="n">
        <f aca="false">COUNTIFS(Stripe_Invoices_Upload!$D$4:$D$21,$A48,Stripe_Invoices_Upload!$G$4:$G$21,"Draft")+COUNTIFS(Stripe_Invoices_Upload!$D$4:$D$21,$A48,Stripe_Invoices_Upload!$G$4:$G$21,"Void")+COUNTIFS(Stripe_Invoices_Upload!$D$4:$D$21,$A48,Stripe_Invoices_Upload!$G$4:$G$21,"Uncollectible")</f>
        <v>0</v>
      </c>
    </row>
    <row r="49" customFormat="false" ht="15" hidden="false" customHeight="false" outlineLevel="0" collapsed="false">
      <c r="A49" s="76" t="s">
        <v>144</v>
      </c>
      <c r="B49" s="85" t="n">
        <f aca="false">COUNTIFS(Xero_Raw!$C$4:$C$42,"Invoice",Xero_Raw!$D$4:$D$42,$A49,Xero_Raw!$I$4:$I$42,"Paid")</f>
        <v>0</v>
      </c>
      <c r="C49" s="85" t="n">
        <f aca="false">COUNTIFS(Xero_Raw!$C$4:$C$42,"Invoice",Xero_Raw!$D$4:$D$42,$A49,Xero_Raw!$I$4:$I$42,"Awaiting Payment")+COUNTIFS(Xero_Raw!$C$4:$C$42,"Invoice",Xero_Raw!$D$4:$D$42,$A49,Xero_Raw!$I$4:$I$42,"Overdue")</f>
        <v>2</v>
      </c>
      <c r="D49" s="85" t="n">
        <f aca="false">COUNTIFS(Xero_Raw!$C$4:$C$42,"Invoice",Xero_Raw!$D$4:$D$42,$A49,Xero_Raw!$I$4:$I$42,"Draft")+COUNTIFS(Xero_Raw!$C$4:$C$42,"Invoice",Xero_Raw!$D$4:$D$42,$A49,Xero_Raw!$I$4:$I$42,"Void")+COUNTIFS(Xero_Raw!$C$4:$C$42,"Invoice",Xero_Raw!$D$4:$D$42,$A49,Xero_Raw!$I$4:$I$42,"Unsent")</f>
        <v>0</v>
      </c>
      <c r="E49" s="85" t="n">
        <f aca="false">COUNTIFS(Stripe_Invoices_Upload!$D$4:$D$21,$A49,Stripe_Invoices_Upload!$G$4:$G$21,"Paid")</f>
        <v>0</v>
      </c>
      <c r="F49" s="85" t="n">
        <f aca="false">COUNTIFS(Stripe_Invoices_Upload!$D$4:$D$21,$A49,Stripe_Invoices_Upload!$G$4:$G$21,"Open")</f>
        <v>0</v>
      </c>
      <c r="G49" s="85" t="n">
        <f aca="false">COUNTIFS(Stripe_Invoices_Upload!$D$4:$D$21,$A49,Stripe_Invoices_Upload!$G$4:$G$21,"Draft")+COUNTIFS(Stripe_Invoices_Upload!$D$4:$D$21,$A49,Stripe_Invoices_Upload!$G$4:$G$21,"Void")+COUNTIFS(Stripe_Invoices_Upload!$D$4:$D$21,$A49,Stripe_Invoices_Upload!$G$4:$G$21,"Uncollectible")</f>
        <v>0</v>
      </c>
    </row>
    <row r="50" customFormat="false" ht="15" hidden="false" customHeight="false" outlineLevel="0" collapsed="false">
      <c r="A50" s="82" t="s">
        <v>451</v>
      </c>
      <c r="B50" s="86" t="n">
        <f aca="false">SUM(B38:B49)</f>
        <v>6</v>
      </c>
      <c r="C50" s="86" t="n">
        <f aca="false">SUM(C38:C49)</f>
        <v>10</v>
      </c>
      <c r="D50" s="86" t="n">
        <f aca="false">SUM(D38:D49)</f>
        <v>8</v>
      </c>
      <c r="E50" s="86" t="n">
        <f aca="false">SUM(E38:E49)</f>
        <v>6</v>
      </c>
      <c r="F50" s="86" t="n">
        <f aca="false">SUM(F38:F49)</f>
        <v>6</v>
      </c>
      <c r="G50" s="86" t="n">
        <f aca="false">SUM(G38:G49)</f>
        <v>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4495E"/>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2"/>
    <col collapsed="false" customWidth="true" hidden="false" outlineLevel="0" max="4" min="3" style="0" width="18"/>
  </cols>
  <sheetData>
    <row r="1" customFormat="false" ht="16.15" hidden="false" customHeight="false" outlineLevel="0" collapsed="false">
      <c r="A1" s="87" t="s">
        <v>555</v>
      </c>
      <c r="B1" s="87"/>
      <c r="C1" s="87"/>
      <c r="D1" s="87"/>
    </row>
    <row r="2" customFormat="false" ht="27.75" hidden="false" customHeight="true" outlineLevel="0" collapsed="false">
      <c r="A2" s="78" t="s">
        <v>556</v>
      </c>
      <c r="B2" s="78"/>
      <c r="C2" s="78"/>
      <c r="D2" s="78"/>
    </row>
    <row r="4" customFormat="false" ht="21.75" hidden="false" customHeight="true" outlineLevel="0" collapsed="false">
      <c r="A4" s="56" t="s">
        <v>217</v>
      </c>
      <c r="B4" s="56" t="s">
        <v>557</v>
      </c>
      <c r="C4" s="56" t="s">
        <v>558</v>
      </c>
      <c r="D4" s="56" t="s">
        <v>559</v>
      </c>
    </row>
    <row r="5" customFormat="false" ht="15" hidden="false" customHeight="false" outlineLevel="0" collapsed="false">
      <c r="A5" s="88" t="s">
        <v>560</v>
      </c>
    </row>
    <row r="6" customFormat="false" ht="15" hidden="false" customHeight="false" outlineLevel="0" collapsed="false">
      <c r="A6" s="76" t="s">
        <v>561</v>
      </c>
      <c r="B6" s="89" t="s">
        <v>562</v>
      </c>
      <c r="C6" s="90" t="n">
        <f aca="false">INDEX(Bank_Raw!F4:F44,COUNT(Bank_Raw!F4:F44))</f>
        <v>499639.33</v>
      </c>
    </row>
    <row r="7" customFormat="false" ht="15" hidden="false" customHeight="false" outlineLevel="0" collapsed="false">
      <c r="A7" s="76" t="s">
        <v>563</v>
      </c>
      <c r="B7" s="89" t="s">
        <v>564</v>
      </c>
      <c r="C7" s="90" t="n">
        <f aca="false">Receivables!F71</f>
        <v>466237.76</v>
      </c>
    </row>
    <row r="8" customFormat="false" ht="15" hidden="false" customHeight="false" outlineLevel="0" collapsed="false">
      <c r="A8" s="82" t="s">
        <v>565</v>
      </c>
      <c r="B8" s="91"/>
      <c r="C8" s="92" t="n">
        <f aca="false">SUM(C6:C7)</f>
        <v>965877.09</v>
      </c>
      <c r="D8" s="91"/>
    </row>
    <row r="10" customFormat="false" ht="15" hidden="false" customHeight="false" outlineLevel="0" collapsed="false">
      <c r="A10" s="88" t="s">
        <v>566</v>
      </c>
    </row>
    <row r="11" customFormat="false" ht="15" hidden="false" customHeight="false" outlineLevel="0" collapsed="false">
      <c r="A11" s="76" t="s">
        <v>567</v>
      </c>
      <c r="B11" s="89" t="s">
        <v>568</v>
      </c>
      <c r="D11" s="90" t="n">
        <f aca="false">Payables!F76</f>
        <v>12033.26</v>
      </c>
    </row>
    <row r="12" customFormat="false" ht="15" hidden="false" customHeight="false" outlineLevel="0" collapsed="false">
      <c r="A12" s="82" t="s">
        <v>569</v>
      </c>
      <c r="B12" s="91"/>
      <c r="C12" s="91"/>
      <c r="D12" s="92" t="n">
        <f aca="false">SUM(D11:D11)</f>
        <v>12033.26</v>
      </c>
    </row>
    <row r="14" customFormat="false" ht="15" hidden="false" customHeight="false" outlineLevel="0" collapsed="false">
      <c r="A14" s="88" t="s">
        <v>570</v>
      </c>
    </row>
    <row r="15" customFormat="false" ht="15" hidden="false" customHeight="false" outlineLevel="0" collapsed="false">
      <c r="A15" s="76" t="s">
        <v>571</v>
      </c>
      <c r="B15" s="89" t="s">
        <v>572</v>
      </c>
      <c r="D15" s="90" t="n">
        <f aca="false">Revenue_Summary!B30</f>
        <v>371810.55</v>
      </c>
    </row>
    <row r="16" customFormat="false" ht="15" hidden="false" customHeight="false" outlineLevel="0" collapsed="false">
      <c r="A16" s="76" t="s">
        <v>573</v>
      </c>
      <c r="B16" s="89" t="s">
        <v>574</v>
      </c>
      <c r="D16" s="90" t="n">
        <f aca="false">Revenue_Summary!B31</f>
        <v>327566.27</v>
      </c>
    </row>
    <row r="17" customFormat="false" ht="15" hidden="false" customHeight="false" outlineLevel="0" collapsed="false">
      <c r="A17" s="76" t="s">
        <v>575</v>
      </c>
      <c r="B17" s="89" t="s">
        <v>576</v>
      </c>
      <c r="D17" s="90" t="n">
        <f aca="false">Revenue_Summary!B32</f>
        <v>361593.45</v>
      </c>
    </row>
    <row r="18" customFormat="false" ht="15" hidden="false" customHeight="false" outlineLevel="0" collapsed="false">
      <c r="A18" s="76" t="s">
        <v>577</v>
      </c>
      <c r="B18" s="89" t="s">
        <v>578</v>
      </c>
      <c r="D18" s="90" t="n">
        <f aca="false">Revenue_Summary!B33</f>
        <v>0</v>
      </c>
    </row>
    <row r="19" customFormat="false" ht="15" hidden="false" customHeight="false" outlineLevel="0" collapsed="false">
      <c r="A19" s="76" t="s">
        <v>579</v>
      </c>
      <c r="B19" s="89" t="s">
        <v>580</v>
      </c>
      <c r="D19" s="90" t="n">
        <f aca="false">SUM(Revenue_Upload!E4:E12)</f>
        <v>25854.64</v>
      </c>
    </row>
    <row r="20" customFormat="false" ht="15" hidden="false" customHeight="false" outlineLevel="0" collapsed="false">
      <c r="A20" s="82" t="s">
        <v>581</v>
      </c>
      <c r="B20" s="91"/>
      <c r="C20" s="91"/>
      <c r="D20" s="92" t="n">
        <f aca="false">SUM(D15:D19)</f>
        <v>1086824.91</v>
      </c>
    </row>
    <row r="22" customFormat="false" ht="15" hidden="false" customHeight="false" outlineLevel="0" collapsed="false">
      <c r="A22" s="88" t="s">
        <v>582</v>
      </c>
    </row>
    <row r="23" customFormat="false" ht="15" hidden="false" customHeight="false" outlineLevel="0" collapsed="false">
      <c r="A23" s="76" t="s">
        <v>186</v>
      </c>
      <c r="B23" s="89" t="s">
        <v>583</v>
      </c>
      <c r="C23" s="90" t="n">
        <f aca="false">Expense_Summary!E6</f>
        <v>36336.51</v>
      </c>
    </row>
    <row r="24" customFormat="false" ht="15" hidden="false" customHeight="false" outlineLevel="0" collapsed="false">
      <c r="A24" s="76" t="s">
        <v>190</v>
      </c>
      <c r="B24" s="89" t="s">
        <v>584</v>
      </c>
      <c r="C24" s="90" t="n">
        <f aca="false">Expense_Summary!E7</f>
        <v>74530.61</v>
      </c>
    </row>
    <row r="25" customFormat="false" ht="15" hidden="false" customHeight="false" outlineLevel="0" collapsed="false">
      <c r="A25" s="76" t="s">
        <v>212</v>
      </c>
      <c r="B25" s="89" t="s">
        <v>585</v>
      </c>
      <c r="C25" s="90" t="n">
        <f aca="false">Expense_Summary!E8</f>
        <v>586.87</v>
      </c>
    </row>
    <row r="26" customFormat="false" ht="15" hidden="false" customHeight="false" outlineLevel="0" collapsed="false">
      <c r="A26" s="76" t="s">
        <v>192</v>
      </c>
      <c r="B26" s="89" t="s">
        <v>586</v>
      </c>
      <c r="C26" s="90" t="n">
        <f aca="false">Expense_Summary!E9</f>
        <v>36483.9</v>
      </c>
    </row>
    <row r="27" customFormat="false" ht="15" hidden="false" customHeight="false" outlineLevel="0" collapsed="false">
      <c r="A27" s="76" t="s">
        <v>188</v>
      </c>
      <c r="B27" s="89" t="s">
        <v>587</v>
      </c>
      <c r="C27" s="90" t="n">
        <f aca="false">Expense_Summary!E10</f>
        <v>56032.59</v>
      </c>
    </row>
    <row r="28" customFormat="false" ht="15" hidden="false" customHeight="false" outlineLevel="0" collapsed="false">
      <c r="A28" s="76" t="s">
        <v>204</v>
      </c>
      <c r="B28" s="89" t="s">
        <v>588</v>
      </c>
      <c r="C28" s="90" t="n">
        <f aca="false">Expense_Summary!E11</f>
        <v>7849.93</v>
      </c>
    </row>
    <row r="29" customFormat="false" ht="15" hidden="false" customHeight="false" outlineLevel="0" collapsed="false">
      <c r="A29" s="76" t="s">
        <v>589</v>
      </c>
      <c r="B29" s="89" t="s">
        <v>590</v>
      </c>
      <c r="C29" s="90" t="n">
        <f aca="false">Expense_Summary!E22</f>
        <v>65447.8</v>
      </c>
    </row>
    <row r="30" customFormat="false" ht="15" hidden="false" customHeight="false" outlineLevel="0" collapsed="false">
      <c r="A30" s="76" t="s">
        <v>591</v>
      </c>
      <c r="B30" s="89" t="s">
        <v>592</v>
      </c>
      <c r="C30" s="90" t="n">
        <f aca="false">Expense_Summary!E30</f>
        <v>51592.82</v>
      </c>
    </row>
    <row r="31" customFormat="false" ht="15" hidden="false" customHeight="false" outlineLevel="0" collapsed="false">
      <c r="A31" s="76" t="s">
        <v>593</v>
      </c>
      <c r="B31" s="89" t="s">
        <v>594</v>
      </c>
      <c r="C31" s="90" t="n">
        <f aca="false">Expense_Summary!E38</f>
        <v>52714.23</v>
      </c>
    </row>
    <row r="32" customFormat="false" ht="15" hidden="false" customHeight="false" outlineLevel="0" collapsed="false">
      <c r="A32" s="76" t="s">
        <v>595</v>
      </c>
      <c r="B32" s="89" t="s">
        <v>596</v>
      </c>
      <c r="C32" s="90" t="n">
        <f aca="false">SUM(Expenses_Upload!E4:E12)</f>
        <v>11072.92</v>
      </c>
    </row>
    <row r="33" customFormat="false" ht="15" hidden="false" customHeight="false" outlineLevel="0" collapsed="false">
      <c r="A33" s="82" t="s">
        <v>597</v>
      </c>
      <c r="B33" s="91"/>
      <c r="C33" s="92" t="n">
        <f aca="false">SUM(C23:C32)</f>
        <v>392648.18</v>
      </c>
      <c r="D33" s="91"/>
    </row>
    <row r="35" customFormat="false" ht="15" hidden="false" customHeight="false" outlineLevel="0" collapsed="false">
      <c r="A35" s="88" t="s">
        <v>598</v>
      </c>
    </row>
    <row r="36" customFormat="false" ht="15" hidden="false" customHeight="false" outlineLevel="0" collapsed="false">
      <c r="A36" s="89" t="s">
        <v>599</v>
      </c>
      <c r="D36" s="93" t="n">
        <f aca="false">D20-C33</f>
        <v>694176.73</v>
      </c>
    </row>
    <row r="37" customFormat="false" ht="15" hidden="false" customHeight="false" outlineLevel="0" collapsed="false">
      <c r="A37" s="76" t="s">
        <v>600</v>
      </c>
      <c r="B37" s="89" t="s">
        <v>601</v>
      </c>
      <c r="C37" s="94"/>
      <c r="D37" s="95" t="n">
        <f aca="false">C8-D12-D20+C33</f>
        <v>259667.1</v>
      </c>
    </row>
    <row r="38" customFormat="false" ht="15" hidden="false" customHeight="false" outlineLevel="0" collapsed="false">
      <c r="A38" s="82" t="s">
        <v>602</v>
      </c>
      <c r="B38" s="91"/>
      <c r="C38" s="91"/>
      <c r="D38" s="92" t="n">
        <f aca="false">D37</f>
        <v>259667.1</v>
      </c>
    </row>
    <row r="40" customFormat="false" ht="15" hidden="false" customHeight="false" outlineLevel="0" collapsed="false">
      <c r="A40" s="96" t="s">
        <v>603</v>
      </c>
      <c r="B40" s="97"/>
      <c r="C40" s="96" t="n">
        <f aca="false">C8+C33</f>
        <v>1358525.27</v>
      </c>
      <c r="D40" s="96" t="n">
        <f aca="false">D12+D20+D38</f>
        <v>1358525.27</v>
      </c>
    </row>
    <row r="41" customFormat="false" ht="15" hidden="false" customHeight="false" outlineLevel="0" collapsed="false">
      <c r="A41" s="22" t="s">
        <v>604</v>
      </c>
      <c r="C41" s="98" t="str">
        <f aca="false">IF(ROUND(C40-D40,2)=0,"✓ BALANCED","✗ OUT OF BALANCE")</f>
        <v>✓ BALANCED</v>
      </c>
      <c r="D41" s="98"/>
    </row>
  </sheetData>
  <mergeCells count="3">
    <mergeCell ref="A1:D1"/>
    <mergeCell ref="A2:D2"/>
    <mergeCell ref="C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4360"/>
    <pageSetUpPr fitToPage="false"/>
  </sheetPr>
  <dimension ref="A1:C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
    <col collapsed="false" customWidth="true" hidden="false" outlineLevel="0" max="3" min="3" style="0" width="18"/>
  </cols>
  <sheetData>
    <row r="1" customFormat="false" ht="17.35" hidden="false" customHeight="false" outlineLevel="0" collapsed="false">
      <c r="A1" s="99" t="s">
        <v>605</v>
      </c>
      <c r="B1" s="99"/>
      <c r="C1" s="99"/>
    </row>
    <row r="2" customFormat="false" ht="31.5" hidden="false" customHeight="true" outlineLevel="0" collapsed="false">
      <c r="A2" s="78" t="s">
        <v>606</v>
      </c>
      <c r="B2" s="78"/>
      <c r="C2" s="78"/>
    </row>
    <row r="4" customFormat="false" ht="16.15" hidden="false" customHeight="false" outlineLevel="0" collapsed="false">
      <c r="A4" s="100" t="s">
        <v>607</v>
      </c>
    </row>
    <row r="6" customFormat="false" ht="18" hidden="false" customHeight="true" outlineLevel="0" collapsed="false">
      <c r="A6" s="101" t="s">
        <v>608</v>
      </c>
      <c r="B6" s="101"/>
      <c r="C6" s="101"/>
    </row>
    <row r="7" customFormat="false" ht="15" hidden="false" customHeight="false" outlineLevel="0" collapsed="false">
      <c r="A7" s="102" t="s">
        <v>609</v>
      </c>
      <c r="C7" s="103" t="n">
        <f aca="false">Trial_Balance!D15</f>
        <v>371810.55</v>
      </c>
    </row>
    <row r="8" customFormat="false" ht="15" hidden="false" customHeight="false" outlineLevel="0" collapsed="false">
      <c r="A8" s="102" t="s">
        <v>610</v>
      </c>
      <c r="C8" s="103" t="n">
        <f aca="false">Trial_Balance!D16</f>
        <v>327566.27</v>
      </c>
    </row>
    <row r="9" customFormat="false" ht="15" hidden="false" customHeight="false" outlineLevel="0" collapsed="false">
      <c r="A9" s="102" t="s">
        <v>611</v>
      </c>
      <c r="C9" s="103" t="n">
        <f aca="false">Trial_Balance!D17</f>
        <v>361593.45</v>
      </c>
    </row>
    <row r="10" customFormat="false" ht="15" hidden="false" customHeight="false" outlineLevel="0" collapsed="false">
      <c r="A10" s="102" t="s">
        <v>612</v>
      </c>
      <c r="C10" s="103" t="n">
        <f aca="false">Trial_Balance!D18+Trial_Balance!D19</f>
        <v>25854.64</v>
      </c>
    </row>
    <row r="11" customFormat="false" ht="15" hidden="false" customHeight="false" outlineLevel="0" collapsed="false">
      <c r="A11" s="104" t="s">
        <v>581</v>
      </c>
      <c r="B11" s="105"/>
      <c r="C11" s="106" t="n">
        <f aca="false">Trial_Balance!D20</f>
        <v>1086824.91</v>
      </c>
    </row>
    <row r="13" customFormat="false" ht="18" hidden="false" customHeight="true" outlineLevel="0" collapsed="false">
      <c r="A13" s="101" t="s">
        <v>613</v>
      </c>
      <c r="B13" s="101"/>
      <c r="C13" s="101"/>
    </row>
    <row r="14" customFormat="false" ht="15" hidden="false" customHeight="false" outlineLevel="0" collapsed="false">
      <c r="A14" s="102" t="s">
        <v>614</v>
      </c>
      <c r="C14" s="103" t="n">
        <f aca="false">-Trial_Balance!C29</f>
        <v>-65447.8</v>
      </c>
    </row>
    <row r="15" customFormat="false" ht="15" hidden="false" customHeight="false" outlineLevel="0" collapsed="false">
      <c r="A15" s="104" t="s">
        <v>615</v>
      </c>
      <c r="B15" s="105"/>
      <c r="C15" s="106" t="n">
        <f aca="false">-Trial_Balance!C29</f>
        <v>-65447.8</v>
      </c>
    </row>
    <row r="16" customFormat="false" ht="15" hidden="false" customHeight="false" outlineLevel="0" collapsed="false">
      <c r="A16" s="104" t="s">
        <v>616</v>
      </c>
      <c r="B16" s="105"/>
      <c r="C16" s="106" t="n">
        <f aca="false">C11+C15</f>
        <v>1021377.11</v>
      </c>
    </row>
    <row r="18" customFormat="false" ht="18" hidden="false" customHeight="true" outlineLevel="0" collapsed="false">
      <c r="A18" s="101" t="s">
        <v>617</v>
      </c>
      <c r="B18" s="101"/>
      <c r="C18" s="101"/>
    </row>
    <row r="19" customFormat="false" ht="15" hidden="false" customHeight="false" outlineLevel="0" collapsed="false">
      <c r="A19" s="102" t="s">
        <v>618</v>
      </c>
      <c r="C19" s="103" t="n">
        <f aca="false">-Trial_Balance!C23</f>
        <v>-36336.51</v>
      </c>
    </row>
    <row r="20" customFormat="false" ht="15" hidden="false" customHeight="false" outlineLevel="0" collapsed="false">
      <c r="A20" s="102" t="s">
        <v>619</v>
      </c>
      <c r="C20" s="103" t="n">
        <f aca="false">-Trial_Balance!C24</f>
        <v>-74530.61</v>
      </c>
    </row>
    <row r="21" customFormat="false" ht="15" hidden="false" customHeight="false" outlineLevel="0" collapsed="false">
      <c r="A21" s="102" t="s">
        <v>620</v>
      </c>
      <c r="C21" s="103" t="n">
        <f aca="false">-(Trial_Balance!C25+Trial_Balance!C30)</f>
        <v>-52179.69</v>
      </c>
    </row>
    <row r="22" customFormat="false" ht="15" hidden="false" customHeight="false" outlineLevel="0" collapsed="false">
      <c r="A22" s="102" t="s">
        <v>621</v>
      </c>
      <c r="C22" s="103" t="n">
        <f aca="false">-Trial_Balance!C26</f>
        <v>-36483.9</v>
      </c>
    </row>
    <row r="23" customFormat="false" ht="15" hidden="false" customHeight="false" outlineLevel="0" collapsed="false">
      <c r="A23" s="102" t="s">
        <v>622</v>
      </c>
      <c r="C23" s="103" t="n">
        <f aca="false">-Trial_Balance!C27</f>
        <v>-56032.59</v>
      </c>
    </row>
    <row r="24" customFormat="false" ht="15" hidden="false" customHeight="false" outlineLevel="0" collapsed="false">
      <c r="A24" s="102" t="s">
        <v>623</v>
      </c>
      <c r="C24" s="103" t="n">
        <f aca="false">-Trial_Balance!C28</f>
        <v>-7849.93</v>
      </c>
    </row>
    <row r="25" customFormat="false" ht="15" hidden="false" customHeight="false" outlineLevel="0" collapsed="false">
      <c r="A25" s="102" t="s">
        <v>624</v>
      </c>
      <c r="C25" s="103" t="n">
        <f aca="false">-(Trial_Balance!C31+Trial_Balance!C32)</f>
        <v>-63787.15</v>
      </c>
    </row>
    <row r="26" customFormat="false" ht="15" hidden="false" customHeight="false" outlineLevel="0" collapsed="false">
      <c r="A26" s="104" t="s">
        <v>625</v>
      </c>
      <c r="B26" s="105"/>
      <c r="C26" s="106" t="n">
        <f aca="false">SUM(C19:C25)</f>
        <v>-327200.38</v>
      </c>
    </row>
    <row r="27" customFormat="false" ht="15" hidden="false" customHeight="false" outlineLevel="0" collapsed="false">
      <c r="A27" s="104" t="s">
        <v>626</v>
      </c>
      <c r="B27" s="105"/>
      <c r="C27" s="106" t="n">
        <f aca="false">C16+C26</f>
        <v>694176.73</v>
      </c>
    </row>
    <row r="29" customFormat="false" ht="16.15" hidden="false" customHeight="false" outlineLevel="0" collapsed="false">
      <c r="A29" s="100" t="s">
        <v>627</v>
      </c>
    </row>
    <row r="31" customFormat="false" ht="18" hidden="false" customHeight="true" outlineLevel="0" collapsed="false">
      <c r="A31" s="101" t="s">
        <v>560</v>
      </c>
      <c r="B31" s="101"/>
      <c r="C31" s="101"/>
    </row>
    <row r="32" customFormat="false" ht="18" hidden="false" customHeight="true" outlineLevel="0" collapsed="false">
      <c r="A32" s="107" t="s">
        <v>628</v>
      </c>
      <c r="B32" s="107"/>
      <c r="C32" s="107"/>
    </row>
    <row r="33" customFormat="false" ht="15" hidden="false" customHeight="false" outlineLevel="0" collapsed="false">
      <c r="A33" s="102" t="s">
        <v>629</v>
      </c>
      <c r="C33" s="103" t="n">
        <f aca="false">Trial_Balance!C6</f>
        <v>499639.33</v>
      </c>
    </row>
    <row r="34" customFormat="false" ht="15" hidden="false" customHeight="false" outlineLevel="0" collapsed="false">
      <c r="A34" s="102" t="s">
        <v>630</v>
      </c>
      <c r="C34" s="103" t="n">
        <f aca="false">Trial_Balance!C7</f>
        <v>466237.76</v>
      </c>
    </row>
    <row r="35" customFormat="false" ht="15" hidden="false" customHeight="false" outlineLevel="0" collapsed="false">
      <c r="A35" s="104" t="s">
        <v>631</v>
      </c>
      <c r="B35" s="105"/>
      <c r="C35" s="106" t="n">
        <f aca="false">SUM(C33:C34)</f>
        <v>965877.09</v>
      </c>
    </row>
    <row r="36" customFormat="false" ht="15" hidden="false" customHeight="false" outlineLevel="0" collapsed="false">
      <c r="A36" s="104" t="s">
        <v>632</v>
      </c>
      <c r="B36" s="105"/>
      <c r="C36" s="106" t="n">
        <f aca="false">C35</f>
        <v>965877.09</v>
      </c>
    </row>
    <row r="38" customFormat="false" ht="18" hidden="false" customHeight="true" outlineLevel="0" collapsed="false">
      <c r="A38" s="101" t="s">
        <v>633</v>
      </c>
      <c r="B38" s="101"/>
      <c r="C38" s="101"/>
    </row>
    <row r="39" customFormat="false" ht="18" hidden="false" customHeight="true" outlineLevel="0" collapsed="false">
      <c r="A39" s="107" t="s">
        <v>634</v>
      </c>
      <c r="B39" s="107"/>
      <c r="C39" s="107"/>
    </row>
    <row r="40" customFormat="false" ht="15" hidden="false" customHeight="false" outlineLevel="0" collapsed="false">
      <c r="A40" s="102" t="s">
        <v>635</v>
      </c>
      <c r="C40" s="103" t="n">
        <f aca="false">Trial_Balance!D37</f>
        <v>259667.1</v>
      </c>
    </row>
    <row r="41" customFormat="false" ht="15" hidden="false" customHeight="false" outlineLevel="0" collapsed="false">
      <c r="A41" s="102" t="s">
        <v>636</v>
      </c>
      <c r="C41" s="103" t="n">
        <f aca="false">C27</f>
        <v>694176.73</v>
      </c>
    </row>
    <row r="42" customFormat="false" ht="15" hidden="false" customHeight="false" outlineLevel="0" collapsed="false">
      <c r="A42" s="104" t="s">
        <v>602</v>
      </c>
      <c r="B42" s="105"/>
      <c r="C42" s="106" t="n">
        <f aca="false">C40+C41</f>
        <v>953843.83</v>
      </c>
    </row>
    <row r="44" customFormat="false" ht="18" hidden="false" customHeight="true" outlineLevel="0" collapsed="false">
      <c r="A44" s="107" t="s">
        <v>637</v>
      </c>
      <c r="B44" s="107"/>
      <c r="C44" s="107"/>
    </row>
    <row r="45" customFormat="false" ht="15" hidden="false" customHeight="false" outlineLevel="0" collapsed="false">
      <c r="A45" s="102" t="s">
        <v>638</v>
      </c>
      <c r="C45" s="103" t="n">
        <f aca="false">Trial_Balance!D11</f>
        <v>12033.26</v>
      </c>
    </row>
    <row r="46" customFormat="false" ht="15" hidden="false" customHeight="false" outlineLevel="0" collapsed="false">
      <c r="A46" s="104" t="s">
        <v>639</v>
      </c>
      <c r="B46" s="105"/>
      <c r="C46" s="106" t="n">
        <f aca="false">C45</f>
        <v>12033.26</v>
      </c>
    </row>
    <row r="47" customFormat="false" ht="15" hidden="false" customHeight="false" outlineLevel="0" collapsed="false">
      <c r="A47" s="104" t="s">
        <v>640</v>
      </c>
      <c r="B47" s="105"/>
      <c r="C47" s="106" t="n">
        <f aca="false">C42+C46</f>
        <v>965877.09</v>
      </c>
    </row>
    <row r="48" customFormat="false" ht="15" hidden="false" customHeight="false" outlineLevel="0" collapsed="false">
      <c r="A48" s="22" t="s">
        <v>604</v>
      </c>
      <c r="C48" s="108" t="str">
        <f aca="false">IF(ROUND(C36-C47,2)=0,"✓ BALANCED","✗ CHECK")</f>
        <v>✓ BALANCED</v>
      </c>
    </row>
    <row r="50" customFormat="false" ht="16.15" hidden="false" customHeight="false" outlineLevel="0" collapsed="false">
      <c r="A50" s="100" t="s">
        <v>641</v>
      </c>
    </row>
    <row r="52" customFormat="false" ht="18" hidden="false" customHeight="true" outlineLevel="0" collapsed="false">
      <c r="A52" s="101" t="s">
        <v>642</v>
      </c>
      <c r="B52" s="101"/>
      <c r="C52" s="101"/>
    </row>
    <row r="53" customFormat="false" ht="15" hidden="false" customHeight="false" outlineLevel="0" collapsed="false">
      <c r="A53" s="102" t="s">
        <v>636</v>
      </c>
      <c r="C53" s="103" t="n">
        <f aca="false">C27</f>
        <v>694176.73</v>
      </c>
    </row>
    <row r="54" customFormat="false" ht="15" hidden="false" customHeight="false" outlineLevel="0" collapsed="false">
      <c r="A54" s="102" t="s">
        <v>643</v>
      </c>
      <c r="C54" s="103" t="n">
        <f aca="false">-C34</f>
        <v>-466237.76</v>
      </c>
    </row>
    <row r="55" customFormat="false" ht="15" hidden="false" customHeight="false" outlineLevel="0" collapsed="false">
      <c r="A55" s="102" t="s">
        <v>644</v>
      </c>
      <c r="C55" s="103" t="n">
        <f aca="false">C45</f>
        <v>12033.26</v>
      </c>
    </row>
    <row r="56" customFormat="false" ht="15" hidden="false" customHeight="false" outlineLevel="0" collapsed="false">
      <c r="A56" s="104" t="s">
        <v>645</v>
      </c>
      <c r="B56" s="105"/>
      <c r="C56" s="106" t="n">
        <f aca="false">C27-C34+C45</f>
        <v>239972.23</v>
      </c>
    </row>
    <row r="58" customFormat="false" ht="18" hidden="false" customHeight="true" outlineLevel="0" collapsed="false">
      <c r="A58" s="101" t="s">
        <v>646</v>
      </c>
      <c r="B58" s="101"/>
      <c r="C58" s="101"/>
    </row>
    <row r="59" customFormat="false" ht="15" hidden="false" customHeight="false" outlineLevel="0" collapsed="false">
      <c r="A59" s="102" t="s">
        <v>647</v>
      </c>
      <c r="C59" s="103" t="n">
        <v>0</v>
      </c>
    </row>
    <row r="60" customFormat="false" ht="15" hidden="false" customHeight="false" outlineLevel="0" collapsed="false">
      <c r="A60" s="104" t="s">
        <v>648</v>
      </c>
      <c r="B60" s="105"/>
      <c r="C60" s="106" t="n">
        <v>0</v>
      </c>
    </row>
    <row r="62" customFormat="false" ht="18" hidden="false" customHeight="true" outlineLevel="0" collapsed="false">
      <c r="A62" s="101" t="s">
        <v>649</v>
      </c>
      <c r="B62" s="101"/>
      <c r="C62" s="101"/>
    </row>
    <row r="63" customFormat="false" ht="15" hidden="false" customHeight="false" outlineLevel="0" collapsed="false">
      <c r="A63" s="102" t="s">
        <v>647</v>
      </c>
      <c r="C63" s="103" t="n">
        <v>0</v>
      </c>
    </row>
    <row r="64" customFormat="false" ht="15" hidden="false" customHeight="false" outlineLevel="0" collapsed="false">
      <c r="A64" s="104" t="s">
        <v>650</v>
      </c>
      <c r="B64" s="105"/>
      <c r="C64" s="106" t="n">
        <v>0</v>
      </c>
    </row>
    <row r="66" customFormat="false" ht="15" hidden="false" customHeight="false" outlineLevel="0" collapsed="false">
      <c r="A66" s="104" t="s">
        <v>651</v>
      </c>
      <c r="B66" s="105"/>
      <c r="C66" s="106" t="n">
        <f aca="false">C56+C60+C64</f>
        <v>239972.23</v>
      </c>
    </row>
    <row r="67" customFormat="false" ht="15" hidden="false" customHeight="false" outlineLevel="0" collapsed="false">
      <c r="A67" s="102" t="s">
        <v>652</v>
      </c>
      <c r="C67" s="103" t="n">
        <f aca="false">C33-C66</f>
        <v>259667.1</v>
      </c>
    </row>
    <row r="68" customFormat="false" ht="15" hidden="false" customHeight="false" outlineLevel="0" collapsed="false">
      <c r="A68" s="109" t="s">
        <v>653</v>
      </c>
      <c r="C68" s="110" t="n">
        <f aca="false">C67+C66</f>
        <v>499639.33</v>
      </c>
    </row>
  </sheetData>
  <mergeCells count="13">
    <mergeCell ref="A1:C1"/>
    <mergeCell ref="A2:C2"/>
    <mergeCell ref="A6:C6"/>
    <mergeCell ref="A13:C13"/>
    <mergeCell ref="A18:C18"/>
    <mergeCell ref="A31:C31"/>
    <mergeCell ref="A32:C32"/>
    <mergeCell ref="A38:C38"/>
    <mergeCell ref="A39:C39"/>
    <mergeCell ref="A44:C44"/>
    <mergeCell ref="A52:C52"/>
    <mergeCell ref="A58:C58"/>
    <mergeCell ref="A62:C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12E5F"/>
    <pageSetUpPr fitToPage="false"/>
  </sheetPr>
  <dimension ref="A1:C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4"/>
    <col collapsed="false" customWidth="true" hidden="false" outlineLevel="0" max="3" min="3" style="0" width="18"/>
  </cols>
  <sheetData>
    <row r="1" customFormat="false" ht="17.35" hidden="false" customHeight="false" outlineLevel="0" collapsed="false">
      <c r="A1" s="99" t="s">
        <v>654</v>
      </c>
      <c r="B1" s="99"/>
      <c r="C1" s="99"/>
    </row>
    <row r="2" customFormat="false" ht="31.5" hidden="false" customHeight="true" outlineLevel="0" collapsed="false">
      <c r="A2" s="78" t="s">
        <v>655</v>
      </c>
      <c r="B2" s="78"/>
      <c r="C2" s="78"/>
    </row>
    <row r="4" customFormat="false" ht="16.15" hidden="false" customHeight="false" outlineLevel="0" collapsed="false">
      <c r="A4" s="100" t="s">
        <v>656</v>
      </c>
    </row>
    <row r="6" customFormat="false" ht="18" hidden="false" customHeight="true" outlineLevel="0" collapsed="false">
      <c r="A6" s="111" t="s">
        <v>657</v>
      </c>
      <c r="B6" s="111"/>
      <c r="C6" s="111"/>
    </row>
    <row r="7" customFormat="false" ht="15" hidden="false" customHeight="false" outlineLevel="0" collapsed="false">
      <c r="A7" s="102" t="s">
        <v>609</v>
      </c>
      <c r="C7" s="103" t="n">
        <f aca="false">Trial_Balance!D15</f>
        <v>371810.55</v>
      </c>
    </row>
    <row r="8" customFormat="false" ht="15" hidden="false" customHeight="false" outlineLevel="0" collapsed="false">
      <c r="A8" s="102" t="s">
        <v>610</v>
      </c>
      <c r="C8" s="103" t="n">
        <f aca="false">Trial_Balance!D16</f>
        <v>327566.27</v>
      </c>
    </row>
    <row r="9" customFormat="false" ht="15" hidden="false" customHeight="false" outlineLevel="0" collapsed="false">
      <c r="A9" s="102" t="s">
        <v>611</v>
      </c>
      <c r="C9" s="103" t="n">
        <f aca="false">Trial_Balance!D17</f>
        <v>361593.45</v>
      </c>
    </row>
    <row r="10" customFormat="false" ht="15" hidden="false" customHeight="false" outlineLevel="0" collapsed="false">
      <c r="A10" s="102" t="s">
        <v>612</v>
      </c>
      <c r="C10" s="103" t="n">
        <f aca="false">Trial_Balance!D18+Trial_Balance!D19</f>
        <v>25854.64</v>
      </c>
    </row>
    <row r="11" customFormat="false" ht="15" hidden="false" customHeight="false" outlineLevel="0" collapsed="false">
      <c r="A11" s="104" t="s">
        <v>658</v>
      </c>
      <c r="B11" s="105"/>
      <c r="C11" s="106" t="n">
        <f aca="false">Trial_Balance!D20</f>
        <v>1086824.91</v>
      </c>
    </row>
    <row r="13" customFormat="false" ht="18" hidden="false" customHeight="true" outlineLevel="0" collapsed="false">
      <c r="A13" s="111" t="s">
        <v>659</v>
      </c>
      <c r="B13" s="111"/>
      <c r="C13" s="111"/>
    </row>
    <row r="14" customFormat="false" ht="15" hidden="false" customHeight="false" outlineLevel="0" collapsed="false">
      <c r="A14" s="102" t="s">
        <v>660</v>
      </c>
      <c r="C14" s="103" t="n">
        <f aca="false">-Trial_Balance!C29</f>
        <v>-65447.8</v>
      </c>
    </row>
    <row r="15" customFormat="false" ht="15" hidden="false" customHeight="false" outlineLevel="0" collapsed="false">
      <c r="A15" s="104" t="s">
        <v>661</v>
      </c>
      <c r="B15" s="105"/>
      <c r="C15" s="106" t="n">
        <f aca="false">-Trial_Balance!C29</f>
        <v>-65447.8</v>
      </c>
    </row>
    <row r="16" customFormat="false" ht="15" hidden="false" customHeight="false" outlineLevel="0" collapsed="false">
      <c r="A16" s="104" t="s">
        <v>616</v>
      </c>
      <c r="B16" s="105"/>
      <c r="C16" s="106" t="n">
        <f aca="false">C11+C15</f>
        <v>1021377.11</v>
      </c>
    </row>
    <row r="18" customFormat="false" ht="18" hidden="false" customHeight="true" outlineLevel="0" collapsed="false">
      <c r="A18" s="111" t="s">
        <v>662</v>
      </c>
      <c r="B18" s="111"/>
      <c r="C18" s="111"/>
    </row>
    <row r="19" customFormat="false" ht="15" hidden="false" customHeight="false" outlineLevel="0" collapsed="false">
      <c r="A19" s="102" t="s">
        <v>663</v>
      </c>
      <c r="C19" s="103" t="n">
        <f aca="false">-(Trial_Balance!C23+Trial_Balance!C24+Trial_Balance!C31+Trial_Balance!C32)</f>
        <v>-174654.27</v>
      </c>
    </row>
    <row r="20" customFormat="false" ht="15" hidden="false" customHeight="false" outlineLevel="0" collapsed="false">
      <c r="A20" s="102" t="s">
        <v>664</v>
      </c>
      <c r="C20" s="103" t="n">
        <f aca="false">-(Trial_Balance!C25+Trial_Balance!C30)</f>
        <v>-52179.69</v>
      </c>
    </row>
    <row r="21" customFormat="false" ht="15" hidden="false" customHeight="false" outlineLevel="0" collapsed="false">
      <c r="A21" s="102" t="s">
        <v>665</v>
      </c>
      <c r="C21" s="103" t="n">
        <f aca="false">-Trial_Balance!C28</f>
        <v>-7849.93</v>
      </c>
    </row>
    <row r="22" customFormat="false" ht="15" hidden="false" customHeight="false" outlineLevel="0" collapsed="false">
      <c r="A22" s="102" t="s">
        <v>666</v>
      </c>
      <c r="C22" s="103" t="n">
        <f aca="false">-(Trial_Balance!C26+Trial_Balance!C27)</f>
        <v>-92516.49</v>
      </c>
    </row>
    <row r="23" customFormat="false" ht="15" hidden="false" customHeight="false" outlineLevel="0" collapsed="false">
      <c r="A23" s="104" t="s">
        <v>667</v>
      </c>
      <c r="B23" s="105"/>
      <c r="C23" s="106" t="n">
        <f aca="false">SUM(C19:C22)</f>
        <v>-327200.38</v>
      </c>
    </row>
    <row r="24" customFormat="false" ht="15" hidden="false" customHeight="false" outlineLevel="0" collapsed="false">
      <c r="A24" s="104" t="s">
        <v>668</v>
      </c>
      <c r="B24" s="105"/>
      <c r="C24" s="106" t="n">
        <f aca="false">C16+C23</f>
        <v>694176.73</v>
      </c>
    </row>
    <row r="26" customFormat="false" ht="15" hidden="false" customHeight="false" outlineLevel="0" collapsed="false">
      <c r="A26" s="104" t="s">
        <v>669</v>
      </c>
      <c r="B26" s="105"/>
      <c r="C26" s="106" t="n">
        <f aca="false">C24</f>
        <v>694176.73</v>
      </c>
    </row>
    <row r="28" customFormat="false" ht="16.15" hidden="false" customHeight="false" outlineLevel="0" collapsed="false">
      <c r="A28" s="100" t="s">
        <v>670</v>
      </c>
    </row>
    <row r="30" customFormat="false" ht="18" hidden="false" customHeight="true" outlineLevel="0" collapsed="false">
      <c r="A30" s="111" t="s">
        <v>560</v>
      </c>
      <c r="B30" s="111"/>
      <c r="C30" s="111"/>
    </row>
    <row r="31" customFormat="false" ht="18" hidden="false" customHeight="true" outlineLevel="0" collapsed="false">
      <c r="A31" s="112" t="s">
        <v>628</v>
      </c>
      <c r="B31" s="112"/>
      <c r="C31" s="112"/>
    </row>
    <row r="32" customFormat="false" ht="15" hidden="false" customHeight="false" outlineLevel="0" collapsed="false">
      <c r="A32" s="102" t="s">
        <v>629</v>
      </c>
      <c r="C32" s="103" t="n">
        <f aca="false">Trial_Balance!C6</f>
        <v>499639.33</v>
      </c>
    </row>
    <row r="33" customFormat="false" ht="15" hidden="false" customHeight="false" outlineLevel="0" collapsed="false">
      <c r="A33" s="102" t="s">
        <v>671</v>
      </c>
      <c r="C33" s="103" t="n">
        <f aca="false">Trial_Balance!C7</f>
        <v>466237.76</v>
      </c>
    </row>
    <row r="34" customFormat="false" ht="15" hidden="false" customHeight="false" outlineLevel="0" collapsed="false">
      <c r="A34" s="104" t="s">
        <v>631</v>
      </c>
      <c r="B34" s="105"/>
      <c r="C34" s="106" t="n">
        <f aca="false">SUM(C32:C33)</f>
        <v>965877.09</v>
      </c>
    </row>
    <row r="35" customFormat="false" ht="15" hidden="false" customHeight="false" outlineLevel="0" collapsed="false">
      <c r="A35" s="104" t="s">
        <v>565</v>
      </c>
      <c r="B35" s="105"/>
      <c r="C35" s="106" t="n">
        <f aca="false">C34</f>
        <v>965877.09</v>
      </c>
    </row>
    <row r="37" customFormat="false" ht="18" hidden="false" customHeight="true" outlineLevel="0" collapsed="false">
      <c r="A37" s="111" t="s">
        <v>672</v>
      </c>
      <c r="B37" s="111"/>
      <c r="C37" s="111"/>
    </row>
    <row r="38" customFormat="false" ht="18" hidden="false" customHeight="true" outlineLevel="0" collapsed="false">
      <c r="A38" s="112" t="s">
        <v>637</v>
      </c>
      <c r="B38" s="112"/>
      <c r="C38" s="112"/>
    </row>
    <row r="39" customFormat="false" ht="15" hidden="false" customHeight="false" outlineLevel="0" collapsed="false">
      <c r="A39" s="102" t="s">
        <v>673</v>
      </c>
      <c r="C39" s="103" t="n">
        <f aca="false">Trial_Balance!D11</f>
        <v>12033.26</v>
      </c>
    </row>
    <row r="40" customFormat="false" ht="15" hidden="false" customHeight="false" outlineLevel="0" collapsed="false">
      <c r="A40" s="104" t="s">
        <v>639</v>
      </c>
      <c r="B40" s="105"/>
      <c r="C40" s="106" t="n">
        <f aca="false">C39</f>
        <v>12033.26</v>
      </c>
    </row>
    <row r="42" customFormat="false" ht="18" hidden="false" customHeight="true" outlineLevel="0" collapsed="false">
      <c r="A42" s="112" t="s">
        <v>674</v>
      </c>
      <c r="B42" s="112"/>
      <c r="C42" s="112"/>
    </row>
    <row r="43" customFormat="false" ht="15" hidden="false" customHeight="false" outlineLevel="0" collapsed="false">
      <c r="A43" s="102" t="s">
        <v>675</v>
      </c>
      <c r="C43" s="103" t="n">
        <f aca="false">Trial_Balance!D37</f>
        <v>259667.1</v>
      </c>
    </row>
    <row r="44" customFormat="false" ht="15" hidden="false" customHeight="false" outlineLevel="0" collapsed="false">
      <c r="A44" s="102" t="s">
        <v>676</v>
      </c>
      <c r="C44" s="103" t="n">
        <f aca="false">C26</f>
        <v>694176.73</v>
      </c>
    </row>
    <row r="45" customFormat="false" ht="15" hidden="false" customHeight="false" outlineLevel="0" collapsed="false">
      <c r="A45" s="104" t="s">
        <v>677</v>
      </c>
      <c r="B45" s="105"/>
      <c r="C45" s="106" t="n">
        <f aca="false">C43+C44</f>
        <v>953843.83</v>
      </c>
    </row>
    <row r="46" customFormat="false" ht="15" hidden="false" customHeight="false" outlineLevel="0" collapsed="false">
      <c r="A46" s="104" t="s">
        <v>678</v>
      </c>
      <c r="B46" s="105"/>
      <c r="C46" s="106" t="n">
        <f aca="false">C40+C45</f>
        <v>965877.09</v>
      </c>
    </row>
    <row r="47" customFormat="false" ht="15" hidden="false" customHeight="false" outlineLevel="0" collapsed="false">
      <c r="A47" s="22" t="s">
        <v>604</v>
      </c>
      <c r="C47" s="108" t="str">
        <f aca="false">IF(ROUND(C35-C46,2)=0,"✓ BALANCED","✗ CHECK")</f>
        <v>✓ BALANCED</v>
      </c>
    </row>
    <row r="49" customFormat="false" ht="16.15" hidden="false" customHeight="false" outlineLevel="0" collapsed="false">
      <c r="A49" s="100" t="s">
        <v>641</v>
      </c>
    </row>
    <row r="51" customFormat="false" ht="18" hidden="false" customHeight="true" outlineLevel="0" collapsed="false">
      <c r="A51" s="111" t="s">
        <v>642</v>
      </c>
      <c r="B51" s="111"/>
      <c r="C51" s="111"/>
    </row>
    <row r="52" customFormat="false" ht="15" hidden="false" customHeight="false" outlineLevel="0" collapsed="false">
      <c r="A52" s="102" t="s">
        <v>679</v>
      </c>
      <c r="C52" s="103" t="n">
        <f aca="false">C26</f>
        <v>694176.73</v>
      </c>
    </row>
    <row r="53" customFormat="false" ht="15" hidden="false" customHeight="false" outlineLevel="0" collapsed="false">
      <c r="A53" s="102" t="s">
        <v>680</v>
      </c>
      <c r="C53" s="103"/>
    </row>
    <row r="54" customFormat="false" ht="15" hidden="false" customHeight="false" outlineLevel="0" collapsed="false">
      <c r="A54" s="113" t="s">
        <v>681</v>
      </c>
      <c r="C54" s="103" t="n">
        <f aca="false">-C33</f>
        <v>-466237.76</v>
      </c>
    </row>
    <row r="55" customFormat="false" ht="15" hidden="false" customHeight="false" outlineLevel="0" collapsed="false">
      <c r="A55" s="113" t="s">
        <v>682</v>
      </c>
      <c r="C55" s="103" t="n">
        <f aca="false">C39</f>
        <v>12033.26</v>
      </c>
    </row>
    <row r="56" customFormat="false" ht="15" hidden="false" customHeight="false" outlineLevel="0" collapsed="false">
      <c r="A56" s="104" t="s">
        <v>683</v>
      </c>
      <c r="B56" s="105"/>
      <c r="C56" s="106" t="n">
        <f aca="false">C26-C33+C39</f>
        <v>239972.23</v>
      </c>
    </row>
    <row r="58" customFormat="false" ht="18" hidden="false" customHeight="true" outlineLevel="0" collapsed="false">
      <c r="A58" s="111" t="s">
        <v>646</v>
      </c>
      <c r="B58" s="111"/>
      <c r="C58" s="111"/>
    </row>
    <row r="59" customFormat="false" ht="15" hidden="false" customHeight="false" outlineLevel="0" collapsed="false">
      <c r="A59" s="102" t="s">
        <v>647</v>
      </c>
      <c r="C59" s="103" t="n">
        <v>0</v>
      </c>
    </row>
    <row r="60" customFormat="false" ht="15" hidden="false" customHeight="false" outlineLevel="0" collapsed="false">
      <c r="A60" s="104" t="s">
        <v>684</v>
      </c>
      <c r="B60" s="105"/>
      <c r="C60" s="106" t="n">
        <v>0</v>
      </c>
    </row>
    <row r="62" customFormat="false" ht="18" hidden="false" customHeight="true" outlineLevel="0" collapsed="false">
      <c r="A62" s="111" t="s">
        <v>649</v>
      </c>
      <c r="B62" s="111"/>
      <c r="C62" s="111"/>
    </row>
    <row r="63" customFormat="false" ht="15" hidden="false" customHeight="false" outlineLevel="0" collapsed="false">
      <c r="A63" s="102" t="s">
        <v>647</v>
      </c>
      <c r="C63" s="103" t="n">
        <v>0</v>
      </c>
    </row>
    <row r="64" customFormat="false" ht="15" hidden="false" customHeight="false" outlineLevel="0" collapsed="false">
      <c r="A64" s="104" t="s">
        <v>685</v>
      </c>
      <c r="B64" s="105"/>
      <c r="C64" s="106" t="n">
        <v>0</v>
      </c>
    </row>
    <row r="66" customFormat="false" ht="15" hidden="false" customHeight="false" outlineLevel="0" collapsed="false">
      <c r="A66" s="104" t="s">
        <v>651</v>
      </c>
      <c r="B66" s="105"/>
      <c r="C66" s="106" t="n">
        <f aca="false">C56+C60+C64</f>
        <v>239972.23</v>
      </c>
    </row>
    <row r="67" customFormat="false" ht="15" hidden="false" customHeight="false" outlineLevel="0" collapsed="false">
      <c r="A67" s="102" t="s">
        <v>652</v>
      </c>
      <c r="C67" s="103" t="n">
        <f aca="false">C32-C66</f>
        <v>259667.1</v>
      </c>
    </row>
    <row r="68" customFormat="false" ht="15" hidden="false" customHeight="false" outlineLevel="0" collapsed="false">
      <c r="A68" s="109" t="s">
        <v>653</v>
      </c>
      <c r="C68" s="110" t="n">
        <f aca="false">C67+C66</f>
        <v>499639.33</v>
      </c>
    </row>
  </sheetData>
  <mergeCells count="13">
    <mergeCell ref="A1:C1"/>
    <mergeCell ref="A2:C2"/>
    <mergeCell ref="A6:C6"/>
    <mergeCell ref="A13:C13"/>
    <mergeCell ref="A18:C18"/>
    <mergeCell ref="A30:C30"/>
    <mergeCell ref="A31:C31"/>
    <mergeCell ref="A37:C37"/>
    <mergeCell ref="A38:C38"/>
    <mergeCell ref="A42:C42"/>
    <mergeCell ref="A51:C51"/>
    <mergeCell ref="A58:C58"/>
    <mergeCell ref="A62:C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2026-07-01T20:22:17Z</dcterms:created>
  <dc:creator>openpyxl</dc:creator>
  <dc:description/>
  <dc:language>en-US</dc:language>
  <cp:lastModifiedBy/>
  <dcterms:modified xsi:type="dcterms:W3CDTF">2026-07-02T21:48:37Z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